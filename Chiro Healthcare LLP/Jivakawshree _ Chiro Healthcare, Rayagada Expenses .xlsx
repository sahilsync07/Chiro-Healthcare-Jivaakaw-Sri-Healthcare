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Bank Transactions" sheetId="2" r:id="rId5"/>
  </sheets>
  <definedNames/>
  <calcPr/>
</workbook>
</file>

<file path=xl/sharedStrings.xml><?xml version="1.0" encoding="utf-8"?>
<sst xmlns="http://schemas.openxmlformats.org/spreadsheetml/2006/main" count="448" uniqueCount="205">
  <si>
    <t>Year</t>
  </si>
  <si>
    <t>Month</t>
  </si>
  <si>
    <t>Date</t>
  </si>
  <si>
    <t>Expense made by</t>
  </si>
  <si>
    <t>Expense particular</t>
  </si>
  <si>
    <t>Amount</t>
  </si>
  <si>
    <t>Sub-total</t>
  </si>
  <si>
    <t>OkCredit</t>
  </si>
  <si>
    <t>March</t>
  </si>
  <si>
    <t>Hitesh</t>
  </si>
  <si>
    <t>Paid full final amount to Jain Distributor for AC purchase</t>
  </si>
  <si>
    <t>February</t>
  </si>
  <si>
    <t>Behera Pharma</t>
  </si>
  <si>
    <t>January</t>
  </si>
  <si>
    <t>Slnp</t>
  </si>
  <si>
    <t>Transfer to chiro healthcare (own sbi to sbi)</t>
  </si>
  <si>
    <t>Transfer to chiro from own sbi</t>
  </si>
  <si>
    <t>Paid salary to Tirupati Behera</t>
  </si>
  <si>
    <t>Paid CC point room rent for the month Dec-2025</t>
  </si>
  <si>
    <t>Paid to "G Kranti" for Board Installation Charges (CC Point)</t>
  </si>
  <si>
    <t>Paid drug licence bribe charges</t>
  </si>
  <si>
    <t>2
0
2
4</t>
  </si>
  <si>
    <t>December</t>
  </si>
  <si>
    <t>Paid Salary for the month of sep-2024</t>
  </si>
  <si>
    <t>Paid to Durga Prasad Pandit for Petty Cash</t>
  </si>
  <si>
    <t>Transfer to Chiro from own sbi (For salary and bank interest)</t>
  </si>
  <si>
    <t>Paid for guest house AC and X-ray room AC part amount (Air Conditioner)</t>
  </si>
  <si>
    <t>Paid for bribe to drug office for licence</t>
  </si>
  <si>
    <t>Paid two month payment to CC point pharmacy (Pradeep ku Behera)</t>
  </si>
  <si>
    <t>November</t>
  </si>
  <si>
    <t>Paid salary to Tirupati</t>
  </si>
  <si>
    <t>Cash Deposit [Bank deposit for clinical Establishment charges]</t>
  </si>
  <si>
    <t>Cash Recieved for bank cash deposit</t>
  </si>
  <si>
    <t>Cash Received for Lab petty Cash expenses</t>
  </si>
  <si>
    <t xml:space="preserve">Cash Received for Lab petty cash expenses </t>
  </si>
  <si>
    <t>Cash Received for Lab petty cash expenses</t>
  </si>
  <si>
    <t>Transfer to chiro LLP (ICICI to SBI Chiro)</t>
  </si>
  <si>
    <t>Transfer to Jivaka ICICI (ICICI to ICICI)</t>
  </si>
  <si>
    <t>Transfer to Chiro LLP for Salary (ICICI to SBI)</t>
  </si>
  <si>
    <t>Transfer to Chiro LLP for Salary (SBI to SBI)</t>
  </si>
  <si>
    <t>Cash paid for referral fees and other petty cash</t>
  </si>
  <si>
    <t>Cash paid for petty cash expenses</t>
  </si>
  <si>
    <t>Paid advance salary to Nalini Pavar</t>
  </si>
  <si>
    <t>Hotel bill of Laxman Sir</t>
  </si>
  <si>
    <t>For Lab petty cash expenses (Durga Prasad Pandit)</t>
  </si>
  <si>
    <t>Paid CC Point House Rent to land lord</t>
  </si>
  <si>
    <t>Paid for Rent for ICICI A/C to Jivakaw A/C</t>
  </si>
  <si>
    <t>For rent transfer to Chiro LLP SBI</t>
  </si>
  <si>
    <t>Paid towards furniture making at x-ray room (A Shankar Rao Carpenter)</t>
  </si>
  <si>
    <t>Advance fees for Nofenx Leese Agreement Copy of CC point</t>
  </si>
  <si>
    <t>Advance fees for Nofenx of Drug License doctors</t>
  </si>
  <si>
    <t>Lease agreement drafting Advocate fees</t>
  </si>
  <si>
    <t>Cash paid to Hitesh for accomodation and fuel of chandra sekhar sir</t>
  </si>
  <si>
    <t>For payment of electrical bill amount transfer amount from sir SBI to CHIRO SBI</t>
  </si>
  <si>
    <t>October</t>
  </si>
  <si>
    <t>Salary Paid to Tirupati</t>
  </si>
  <si>
    <t>Paid to Gupta Electrical (Part payment)</t>
  </si>
  <si>
    <t>Paid to Furniture shop M Maleswar</t>
  </si>
  <si>
    <t>Paid to Gupta Electrical final amount</t>
  </si>
  <si>
    <t>Paid to Jain Enterprises A/C</t>
  </si>
  <si>
    <t>Paid to Chiro LLP for loan repayment</t>
  </si>
  <si>
    <t>Paid to CC point house rent to the landlord</t>
  </si>
  <si>
    <t>September</t>
  </si>
  <si>
    <t>For Salary from SLN Patro A/C Union Bank</t>
  </si>
  <si>
    <t>Paid to Marble House for Jivakaw</t>
  </si>
  <si>
    <t>Paid to G Umashankar Landlord of CC point House Rent</t>
  </si>
  <si>
    <t>5th Aug 2024 
- 
31st Aug 2024</t>
  </si>
  <si>
    <t>For Salary my acc to chiro</t>
  </si>
  <si>
    <t>Paid Salary to Tirupati</t>
  </si>
  <si>
    <t>For Making two iron stand (Battery)</t>
  </si>
  <si>
    <t>Purchase of electrical items</t>
  </si>
  <si>
    <t>Steel Material purchase for bio chemistry stand</t>
  </si>
  <si>
    <t>Steel Stand Making charges</t>
  </si>
  <si>
    <t>All shutter Greecing charges</t>
  </si>
  <si>
    <t>Purchase of greeseing items</t>
  </si>
  <si>
    <t>Water testing charges paid to executive engineer</t>
  </si>
  <si>
    <t>purchase of marbles and kadepa for bio chemistry stand</t>
  </si>
  <si>
    <t>Rubber mat purchase for ups battery stand</t>
  </si>
  <si>
    <t>Purchase of 2 litres thinner</t>
  </si>
  <si>
    <t>Purchase of switch and socket (Legrand)</t>
  </si>
  <si>
    <t>Petrol purchase (Tirupati)</t>
  </si>
  <si>
    <t>Purchase of stamp paper for Drug License</t>
  </si>
  <si>
    <t>Paid 5th floor room rent (Aug 2024)</t>
  </si>
  <si>
    <t>Paid 5th floor room advance</t>
  </si>
  <si>
    <t xml:space="preserve">Jivaakaw Sri Health Care Trade License fee </t>
  </si>
  <si>
    <t>Recharge of Jio Wi-fi (Jivaakaw)</t>
  </si>
  <si>
    <t>Paid Security deposit of 10 Jio Sims</t>
  </si>
  <si>
    <t>Purchase water bottles and plates</t>
  </si>
  <si>
    <t>Purchase of 4 fold files 2nos</t>
  </si>
  <si>
    <t>Paid CC point rent for the month July 2024</t>
  </si>
  <si>
    <t>Purchase Pooja Items and priest fees</t>
  </si>
  <si>
    <t>Purchase two door for Dr Chamber (CC Point)</t>
  </si>
  <si>
    <t>Night meals for three staff</t>
  </si>
  <si>
    <t>Paid for insurance instrument union bank to chiro healthcare</t>
  </si>
  <si>
    <t>23rd July
 - 
4th August</t>
  </si>
  <si>
    <t>Fan amount for LAB</t>
  </si>
  <si>
    <t>From SLN Patro Union to Chiro healthcare SBI</t>
  </si>
  <si>
    <t>Final amount paid to uday painter</t>
  </si>
  <si>
    <t>Paint purchase for cc point work</t>
  </si>
  <si>
    <t>Expenses details of Rs8670 in seperate sheet</t>
  </si>
  <si>
    <t>Purchase office stationary Jivaakaw</t>
  </si>
  <si>
    <t>Mahalaxmi Electrical Light for Lab</t>
  </si>
  <si>
    <t>-</t>
  </si>
  <si>
    <t>Tirupati</t>
  </si>
  <si>
    <t>Setup Expenses of Transformer for Main LAB</t>
  </si>
  <si>
    <t>All dues paid to Janardhan sir for granite CC point</t>
  </si>
  <si>
    <t>Return of 1pc granite CC point paid to Janardhan sir</t>
  </si>
  <si>
    <t>Tirupati Behera Salary</t>
  </si>
  <si>
    <t>Slnp to SBI Chiro LLP</t>
  </si>
  <si>
    <t>Paid to Dolphin cleeny</t>
  </si>
  <si>
    <t>Paid to Laxminarayan Industries for 2nd floor shutter work</t>
  </si>
  <si>
    <t>Tirupati Salary</t>
  </si>
  <si>
    <t>CC Point AC transport auto charges</t>
  </si>
  <si>
    <t>Furniture transport from vizag phonepe sento to harsh</t>
  </si>
  <si>
    <t>Lab expenses</t>
  </si>
  <si>
    <t>Hour of six chairs for 58 days</t>
  </si>
  <si>
    <t>Purchase of 6nos for LAB staff</t>
  </si>
  <si>
    <t>Durga Prasad Pandit</t>
  </si>
  <si>
    <t>M Hitesh Kumar</t>
  </si>
  <si>
    <t>Tusar Nimalpuri</t>
  </si>
  <si>
    <t>For recharge of office postpaid phone</t>
  </si>
  <si>
    <t>6th March 2024
-
22nd May 2024</t>
  </si>
  <si>
    <t>Paid to Udaya CC point painting work</t>
  </si>
  <si>
    <t>Paid to Udaya for CC point work</t>
  </si>
  <si>
    <t>Paid to Shiridi Sai Hardware through Udaya painter for CC point</t>
  </si>
  <si>
    <t>Paid to Udaya for CC point</t>
  </si>
  <si>
    <t>For day to day expenses</t>
  </si>
  <si>
    <t xml:space="preserve">Salary </t>
  </si>
  <si>
    <t>From SLN Patro to Chiro healthcare SBI</t>
  </si>
  <si>
    <t>Paid to Jagadish Electrical</t>
  </si>
  <si>
    <t>Paid to Suresh CA Income Tax</t>
  </si>
  <si>
    <t>Paid to Hitesh for New JIO SIM</t>
  </si>
  <si>
    <t>Paid for Taiyo Lab Pamplet print</t>
  </si>
  <si>
    <t>Salary of Tirupati Behera</t>
  </si>
  <si>
    <t>Paid to M Hari Electrician after 4nos Havell light and fitting charges</t>
  </si>
  <si>
    <t>Paid to Udaya final payment of painting cc point</t>
  </si>
  <si>
    <t>Travel exp of 3 person Dr Harsh, Lokanatha and Gangadhar</t>
  </si>
  <si>
    <t>Purchase water can and dispenser for lab staff (guest room)</t>
  </si>
  <si>
    <t>Final amount paid to Mahalaxmi Enterprises Hardware Rgda</t>
  </si>
  <si>
    <t>Paid purchase of white board/pen.duster for lab staff</t>
  </si>
  <si>
    <t>30th January 2024
-
9th February 2024</t>
  </si>
  <si>
    <t>Paid to koti electrical supervisor</t>
  </si>
  <si>
    <t>Paid to udaya 3000 and koti 13000</t>
  </si>
  <si>
    <t>tiles for medicine store</t>
  </si>
  <si>
    <t>Paid K Satya Narayana Electrical</t>
  </si>
  <si>
    <t>Tile work of Medical Store</t>
  </si>
  <si>
    <t>Paid to Uday for CC point painting work</t>
  </si>
  <si>
    <t>Paid to Udaya painter lab work</t>
  </si>
  <si>
    <t>Transfer for CHIRO Healthcare LLP</t>
  </si>
  <si>
    <t>22nd January 2024
-
27th January 2024</t>
  </si>
  <si>
    <t>Jagadish Electrician Taken</t>
  </si>
  <si>
    <t>Paid to Kotti Ceiling Work</t>
  </si>
  <si>
    <t>Paid to Jagadish Electrician</t>
  </si>
  <si>
    <t>19th December 2023
-
2nd January 2024</t>
  </si>
  <si>
    <t>Paid for whitewash to Udaya</t>
  </si>
  <si>
    <t>Mahalaxmi Hardware</t>
  </si>
  <si>
    <t>2
0
2
3</t>
  </si>
  <si>
    <t>17th November 2023
- 18th November 2023</t>
  </si>
  <si>
    <t>Abbas</t>
  </si>
  <si>
    <t>For daily expenses of Abbas</t>
  </si>
  <si>
    <t>For puja expenses Abbas</t>
  </si>
  <si>
    <t>31st October 2023
- 3rd November 2023</t>
  </si>
  <si>
    <t>For daily allowance Abbas</t>
  </si>
  <si>
    <t>For earthing charges and material</t>
  </si>
  <si>
    <t>3rd October 2023
-
18th October 2023</t>
  </si>
  <si>
    <t>Paid to ceiling material Koti</t>
  </si>
  <si>
    <t>Advance paid to painter udaya</t>
  </si>
  <si>
    <t>Salary abbas</t>
  </si>
  <si>
    <t>Advance paid to carpenter munna</t>
  </si>
  <si>
    <t>Advance paid to laxminarayan industries for shutter purpose</t>
  </si>
  <si>
    <t>Advance Abbas</t>
  </si>
  <si>
    <t>Advance paid to koti ceiling</t>
  </si>
  <si>
    <t>Advance paid to satti babu electrical</t>
  </si>
  <si>
    <t>17th November 2023
-
11th December 2023</t>
  </si>
  <si>
    <t>Tirupati Behera Salary + gst rs4000 expenses</t>
  </si>
  <si>
    <t>Lab expenses, agreement and registration</t>
  </si>
  <si>
    <t>1st October 2023
- 1st November 2023</t>
  </si>
  <si>
    <t>Advance payment to ceiling</t>
  </si>
  <si>
    <t>Jain Enterprises</t>
  </si>
  <si>
    <t>Ceiling Material</t>
  </si>
  <si>
    <t>Marble House</t>
  </si>
  <si>
    <t>23rd June 2023
-
8th August 2023</t>
  </si>
  <si>
    <t>8th August 2023
-
5th November 2023</t>
  </si>
  <si>
    <t>Abbas advance 1 Lakh paid to carpenter Tuttu Ram (Munna)</t>
  </si>
  <si>
    <t>Sima sahu add civil work</t>
  </si>
  <si>
    <t>Gupta Electrical MCB Bills</t>
  </si>
  <si>
    <t>8th September 2023
-
26th September 2023</t>
  </si>
  <si>
    <t>Cash to Abbas</t>
  </si>
  <si>
    <t>Cash to Abbas - Carpenter munna 20k, Ceiling Koti 20k, Abbas 10k</t>
  </si>
  <si>
    <t>Cash to Abbas, Adv to tiles alam</t>
  </si>
  <si>
    <t>Cash to Abbas daily expenses</t>
  </si>
  <si>
    <t>Cash to Abbas 15000 Md Alam, 10000 purchasing Commode</t>
  </si>
  <si>
    <t>4th September 2023
-
30th September 2023</t>
  </si>
  <si>
    <t>Cash recieved</t>
  </si>
  <si>
    <t>Payments Not Recorded</t>
  </si>
  <si>
    <t>Tirupati Behera Taken</t>
  </si>
  <si>
    <t>Additional Civil work 3rd Payment</t>
  </si>
  <si>
    <t>50k Sima Sahu Land Owner for additional Civil work</t>
  </si>
  <si>
    <t>Advocate Ramesh for lease deed registration</t>
  </si>
  <si>
    <t>Sima Sahu Final Advance Payment</t>
  </si>
  <si>
    <t>Partnership Notary</t>
  </si>
  <si>
    <t>Er Pattnaik for Measurement</t>
  </si>
  <si>
    <t>Sima Sahu Advance</t>
  </si>
  <si>
    <t>Total</t>
  </si>
  <si>
    <t>Grand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</si>
</sst>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/m/yyyy"/>
  </numFmts>
  <fonts count="8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color theme="1"/>
      <name val="Arial"/>
      <scheme val="minor"/>
    </font>
    <font/>
    <font>
      <b/>
      <sz val="100.0"/>
      <color theme="1"/>
      <name val="Arial"/>
      <scheme val="minor"/>
    </font>
    <font>
      <b/>
      <sz val="106.0"/>
      <color theme="1"/>
      <name val="Arial"/>
      <scheme val="minor"/>
    </font>
    <font>
      <b/>
      <color theme="1"/>
      <name val="Arial"/>
      <scheme val="minor"/>
    </font>
    <font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0000FF"/>
        <bgColor rgb="FF0000FF"/>
      </patternFill>
    </fill>
    <fill>
      <patternFill patternType="solid">
        <fgColor rgb="FFF3F3F3"/>
        <bgColor rgb="FFF3F3F3"/>
      </patternFill>
    </fill>
    <fill>
      <patternFill patternType="solid">
        <fgColor rgb="FFD9EAD3"/>
        <bgColor rgb="FFD9EAD3"/>
      </patternFill>
    </fill>
    <fill>
      <patternFill patternType="solid">
        <fgColor rgb="FFD9D9D9"/>
        <bgColor rgb="FFD9D9D9"/>
      </patternFill>
    </fill>
  </fills>
  <borders count="2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12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2" fillId="0" fontId="2" numFmtId="0" xfId="0" applyAlignment="1" applyBorder="1" applyFont="1">
      <alignment horizontal="center" readingOrder="0" vertical="center"/>
    </xf>
    <xf borderId="3" fillId="2" fontId="2" numFmtId="0" xfId="0" applyAlignment="1" applyBorder="1" applyFill="1" applyFont="1">
      <alignment readingOrder="0"/>
    </xf>
    <xf borderId="4" fillId="2" fontId="2" numFmtId="164" xfId="0" applyAlignment="1" applyBorder="1" applyFont="1" applyNumberFormat="1">
      <alignment readingOrder="0"/>
    </xf>
    <xf borderId="4" fillId="2" fontId="2" numFmtId="0" xfId="0" applyAlignment="1" applyBorder="1" applyFont="1">
      <alignment readingOrder="0"/>
    </xf>
    <xf borderId="5" fillId="2" fontId="2" numFmtId="0" xfId="0" applyAlignment="1" applyBorder="1" applyFont="1">
      <alignment readingOrder="0"/>
    </xf>
    <xf borderId="0" fillId="3" fontId="2" numFmtId="0" xfId="0" applyFill="1" applyFont="1"/>
    <xf borderId="6" fillId="4" fontId="2" numFmtId="0" xfId="0" applyBorder="1" applyFill="1" applyFont="1"/>
    <xf borderId="2" fillId="0" fontId="3" numFmtId="0" xfId="0" applyBorder="1" applyFont="1"/>
    <xf borderId="1" fillId="5" fontId="2" numFmtId="0" xfId="0" applyAlignment="1" applyBorder="1" applyFill="1" applyFont="1">
      <alignment readingOrder="0"/>
    </xf>
    <xf borderId="1" fillId="5" fontId="2" numFmtId="164" xfId="0" applyAlignment="1" applyBorder="1" applyFont="1" applyNumberFormat="1">
      <alignment readingOrder="0"/>
    </xf>
    <xf borderId="7" fillId="2" fontId="2" numFmtId="0" xfId="0" applyAlignment="1" applyBorder="1" applyFont="1">
      <alignment horizontal="center" readingOrder="0" vertical="center"/>
    </xf>
    <xf borderId="8" fillId="6" fontId="2" numFmtId="164" xfId="0" applyAlignment="1" applyBorder="1" applyFill="1" applyFont="1" applyNumberFormat="1">
      <alignment readingOrder="0"/>
    </xf>
    <xf borderId="8" fillId="6" fontId="2" numFmtId="0" xfId="0" applyAlignment="1" applyBorder="1" applyFont="1">
      <alignment readingOrder="0"/>
    </xf>
    <xf borderId="9" fillId="6" fontId="2" numFmtId="0" xfId="0" applyAlignment="1" applyBorder="1" applyFont="1">
      <alignment readingOrder="0"/>
    </xf>
    <xf borderId="6" fillId="0" fontId="2" numFmtId="0" xfId="0" applyBorder="1" applyFont="1"/>
    <xf borderId="0" fillId="6" fontId="2" numFmtId="164" xfId="0" applyAlignment="1" applyFont="1" applyNumberFormat="1">
      <alignment readingOrder="0"/>
    </xf>
    <xf borderId="0" fillId="6" fontId="2" numFmtId="0" xfId="0" applyAlignment="1" applyFont="1">
      <alignment readingOrder="0"/>
    </xf>
    <xf borderId="6" fillId="6" fontId="2" numFmtId="0" xfId="0" applyAlignment="1" applyBorder="1" applyFont="1">
      <alignment readingOrder="0"/>
    </xf>
    <xf borderId="0" fillId="2" fontId="2" numFmtId="164" xfId="0" applyAlignment="1" applyFont="1" applyNumberFormat="1">
      <alignment readingOrder="0"/>
    </xf>
    <xf borderId="0" fillId="2" fontId="2" numFmtId="0" xfId="0" applyAlignment="1" applyFont="1">
      <alignment readingOrder="0"/>
    </xf>
    <xf borderId="6" fillId="2" fontId="2" numFmtId="0" xfId="0" applyAlignment="1" applyBorder="1" applyFont="1">
      <alignment readingOrder="0"/>
    </xf>
    <xf borderId="10" fillId="0" fontId="3" numFmtId="0" xfId="0" applyBorder="1" applyFont="1"/>
    <xf borderId="11" fillId="2" fontId="2" numFmtId="164" xfId="0" applyAlignment="1" applyBorder="1" applyFont="1" applyNumberFormat="1">
      <alignment readingOrder="0"/>
    </xf>
    <xf borderId="11" fillId="2" fontId="2" numFmtId="0" xfId="0" applyAlignment="1" applyBorder="1" applyFont="1">
      <alignment readingOrder="0"/>
    </xf>
    <xf borderId="12" fillId="2" fontId="2" numFmtId="0" xfId="0" applyAlignment="1" applyBorder="1" applyFont="1">
      <alignment readingOrder="0"/>
    </xf>
    <xf borderId="2" fillId="0" fontId="4" numFmtId="0" xfId="0" applyAlignment="1" applyBorder="1" applyFont="1">
      <alignment horizontal="center" readingOrder="0" vertical="center"/>
    </xf>
    <xf borderId="7" fillId="5" fontId="2" numFmtId="0" xfId="0" applyAlignment="1" applyBorder="1" applyFont="1">
      <alignment horizontal="center" readingOrder="0" vertical="center"/>
    </xf>
    <xf borderId="8" fillId="5" fontId="2" numFmtId="164" xfId="0" applyAlignment="1" applyBorder="1" applyFont="1" applyNumberFormat="1">
      <alignment readingOrder="0"/>
    </xf>
    <xf borderId="8" fillId="5" fontId="2" numFmtId="0" xfId="0" applyAlignment="1" applyBorder="1" applyFont="1">
      <alignment readingOrder="0"/>
    </xf>
    <xf borderId="9" fillId="5" fontId="2" numFmtId="0" xfId="0" applyAlignment="1" applyBorder="1" applyFont="1">
      <alignment readingOrder="0"/>
    </xf>
    <xf borderId="0" fillId="5" fontId="2" numFmtId="164" xfId="0" applyAlignment="1" applyFont="1" applyNumberFormat="1">
      <alignment readingOrder="0"/>
    </xf>
    <xf borderId="0" fillId="5" fontId="2" numFmtId="0" xfId="0" applyAlignment="1" applyFont="1">
      <alignment readingOrder="0"/>
    </xf>
    <xf borderId="6" fillId="5" fontId="2" numFmtId="0" xfId="0" applyAlignment="1" applyBorder="1" applyFont="1">
      <alignment readingOrder="0"/>
    </xf>
    <xf borderId="0" fillId="5" fontId="2" numFmtId="165" xfId="0" applyAlignment="1" applyFont="1" applyNumberFormat="1">
      <alignment readingOrder="0"/>
    </xf>
    <xf borderId="11" fillId="5" fontId="2" numFmtId="165" xfId="0" applyAlignment="1" applyBorder="1" applyFont="1" applyNumberFormat="1">
      <alignment readingOrder="0"/>
    </xf>
    <xf borderId="11" fillId="5" fontId="2" numFmtId="0" xfId="0" applyAlignment="1" applyBorder="1" applyFont="1">
      <alignment readingOrder="0"/>
    </xf>
    <xf borderId="12" fillId="5" fontId="2" numFmtId="0" xfId="0" applyAlignment="1" applyBorder="1" applyFont="1">
      <alignment readingOrder="0"/>
    </xf>
    <xf borderId="8" fillId="2" fontId="2" numFmtId="164" xfId="0" applyAlignment="1" applyBorder="1" applyFont="1" applyNumberFormat="1">
      <alignment readingOrder="0"/>
    </xf>
    <xf borderId="8" fillId="2" fontId="2" numFmtId="0" xfId="0" applyAlignment="1" applyBorder="1" applyFont="1">
      <alignment readingOrder="0"/>
    </xf>
    <xf borderId="9" fillId="2" fontId="2" numFmtId="0" xfId="0" applyAlignment="1" applyBorder="1" applyFont="1">
      <alignment readingOrder="0"/>
    </xf>
    <xf borderId="0" fillId="2" fontId="2" numFmtId="165" xfId="0" applyAlignment="1" applyFont="1" applyNumberFormat="1">
      <alignment readingOrder="0"/>
    </xf>
    <xf borderId="0" fillId="6" fontId="2" numFmtId="165" xfId="0" applyAlignment="1" applyFont="1" applyNumberFormat="1">
      <alignment readingOrder="0"/>
    </xf>
    <xf borderId="11" fillId="6" fontId="2" numFmtId="165" xfId="0" applyAlignment="1" applyBorder="1" applyFont="1" applyNumberFormat="1">
      <alignment readingOrder="0"/>
    </xf>
    <xf borderId="11" fillId="6" fontId="2" numFmtId="0" xfId="0" applyAlignment="1" applyBorder="1" applyFont="1">
      <alignment readingOrder="0"/>
    </xf>
    <xf borderId="12" fillId="6" fontId="2" numFmtId="0" xfId="0" applyAlignment="1" applyBorder="1" applyFont="1">
      <alignment readingOrder="0"/>
    </xf>
    <xf borderId="7" fillId="0" fontId="2" numFmtId="0" xfId="0" applyAlignment="1" applyBorder="1" applyFont="1">
      <alignment horizontal="center" readingOrder="0" vertical="center"/>
    </xf>
    <xf borderId="8" fillId="0" fontId="2" numFmtId="164" xfId="0" applyAlignment="1" applyBorder="1" applyFont="1" applyNumberFormat="1">
      <alignment readingOrder="0"/>
    </xf>
    <xf borderId="8" fillId="0" fontId="2" numFmtId="0" xfId="0" applyAlignment="1" applyBorder="1" applyFont="1">
      <alignment readingOrder="0"/>
    </xf>
    <xf borderId="9" fillId="0" fontId="2" numFmtId="0" xfId="0" applyAlignment="1" applyBorder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6" fillId="0" fontId="2" numFmtId="0" xfId="0" applyAlignment="1" applyBorder="1" applyFont="1">
      <alignment readingOrder="0"/>
    </xf>
    <xf borderId="11" fillId="0" fontId="2" numFmtId="164" xfId="0" applyAlignment="1" applyBorder="1" applyFont="1" applyNumberFormat="1">
      <alignment readingOrder="0"/>
    </xf>
    <xf borderId="11" fillId="0" fontId="2" numFmtId="0" xfId="0" applyAlignment="1" applyBorder="1" applyFont="1">
      <alignment readingOrder="0"/>
    </xf>
    <xf borderId="12" fillId="0" fontId="2" numFmtId="0" xfId="0" applyAlignment="1" applyBorder="1" applyFont="1">
      <alignment readingOrder="0"/>
    </xf>
    <xf borderId="11" fillId="6" fontId="2" numFmtId="164" xfId="0" applyAlignment="1" applyBorder="1" applyFont="1" applyNumberFormat="1">
      <alignment readingOrder="0"/>
    </xf>
    <xf borderId="11" fillId="5" fontId="2" numFmtId="164" xfId="0" applyAlignment="1" applyBorder="1" applyFont="1" applyNumberFormat="1">
      <alignment readingOrder="0"/>
    </xf>
    <xf borderId="2" fillId="0" fontId="2" numFmtId="0" xfId="0" applyBorder="1" applyFont="1"/>
    <xf borderId="8" fillId="0" fontId="2" numFmtId="165" xfId="0" applyAlignment="1" applyBorder="1" applyFont="1" applyNumberFormat="1">
      <alignment readingOrder="0"/>
    </xf>
    <xf borderId="2" fillId="0" fontId="5" numFmtId="0" xfId="0" applyAlignment="1" applyBorder="1" applyFont="1">
      <alignment horizontal="center" readingOrder="0" vertical="center"/>
    </xf>
    <xf borderId="7" fillId="5" fontId="2" numFmtId="0" xfId="0" applyAlignment="1" applyBorder="1" applyFont="1">
      <alignment readingOrder="0"/>
    </xf>
    <xf borderId="8" fillId="5" fontId="2" numFmtId="165" xfId="0" applyAlignment="1" applyBorder="1" applyFont="1" applyNumberFormat="1">
      <alignment readingOrder="0"/>
    </xf>
    <xf borderId="7" fillId="0" fontId="2" numFmtId="0" xfId="0" applyAlignment="1" applyBorder="1" applyFont="1">
      <alignment readingOrder="0"/>
    </xf>
    <xf borderId="8" fillId="7" fontId="2" numFmtId="164" xfId="0" applyAlignment="1" applyBorder="1" applyFill="1" applyFont="1" applyNumberFormat="1">
      <alignment readingOrder="0"/>
    </xf>
    <xf borderId="8" fillId="7" fontId="2" numFmtId="0" xfId="0" applyAlignment="1" applyBorder="1" applyFont="1">
      <alignment readingOrder="0"/>
    </xf>
    <xf borderId="9" fillId="7" fontId="2" numFmtId="0" xfId="0" applyAlignment="1" applyBorder="1" applyFont="1">
      <alignment readingOrder="0"/>
    </xf>
    <xf borderId="0" fillId="7" fontId="2" numFmtId="164" xfId="0" applyAlignment="1" applyFont="1" applyNumberFormat="1">
      <alignment readingOrder="0"/>
    </xf>
    <xf borderId="0" fillId="7" fontId="2" numFmtId="0" xfId="0" applyAlignment="1" applyFont="1">
      <alignment readingOrder="0"/>
    </xf>
    <xf borderId="6" fillId="7" fontId="2" numFmtId="0" xfId="0" applyAlignment="1" applyBorder="1" applyFont="1">
      <alignment readingOrder="0"/>
    </xf>
    <xf borderId="0" fillId="7" fontId="2" numFmtId="165" xfId="0" applyAlignment="1" applyFont="1" applyNumberFormat="1">
      <alignment readingOrder="0"/>
    </xf>
    <xf borderId="11" fillId="7" fontId="2" numFmtId="165" xfId="0" applyAlignment="1" applyBorder="1" applyFont="1" applyNumberFormat="1">
      <alignment readingOrder="0"/>
    </xf>
    <xf borderId="11" fillId="7" fontId="2" numFmtId="0" xfId="0" applyAlignment="1" applyBorder="1" applyFont="1">
      <alignment readingOrder="0"/>
    </xf>
    <xf borderId="12" fillId="7" fontId="2" numFmtId="0" xfId="0" applyAlignment="1" applyBorder="1" applyFont="1">
      <alignment readingOrder="0"/>
    </xf>
    <xf borderId="8" fillId="5" fontId="2" numFmtId="0" xfId="0" applyBorder="1" applyFont="1"/>
    <xf borderId="0" fillId="5" fontId="2" numFmtId="0" xfId="0" applyFont="1"/>
    <xf borderId="11" fillId="0" fontId="2" numFmtId="0" xfId="0" applyBorder="1" applyFont="1"/>
    <xf borderId="3" fillId="5" fontId="2" numFmtId="0" xfId="0" applyBorder="1" applyFont="1"/>
    <xf borderId="4" fillId="5" fontId="2" numFmtId="164" xfId="0" applyAlignment="1" applyBorder="1" applyFont="1" applyNumberFormat="1">
      <alignment readingOrder="0"/>
    </xf>
    <xf borderId="4" fillId="5" fontId="2" numFmtId="0" xfId="0" applyBorder="1" applyFont="1"/>
    <xf borderId="4" fillId="5" fontId="2" numFmtId="0" xfId="0" applyAlignment="1" applyBorder="1" applyFont="1">
      <alignment readingOrder="0"/>
    </xf>
    <xf borderId="5" fillId="5" fontId="2" numFmtId="0" xfId="0" applyAlignment="1" applyBorder="1" applyFont="1">
      <alignment readingOrder="0"/>
    </xf>
    <xf borderId="0" fillId="3" fontId="2" numFmtId="0" xfId="0" applyAlignment="1" applyFont="1">
      <alignment readingOrder="0"/>
    </xf>
    <xf borderId="3" fillId="0" fontId="2" numFmtId="0" xfId="0" applyBorder="1" applyFont="1"/>
    <xf borderId="4" fillId="0" fontId="2" numFmtId="164" xfId="0" applyAlignment="1" applyBorder="1" applyFont="1" applyNumberFormat="1">
      <alignment readingOrder="0"/>
    </xf>
    <xf borderId="4" fillId="0" fontId="2" numFmtId="0" xfId="0" applyBorder="1" applyFont="1"/>
    <xf borderId="4" fillId="0" fontId="2" numFmtId="0" xfId="0" applyAlignment="1" applyBorder="1" applyFont="1">
      <alignment readingOrder="0"/>
    </xf>
    <xf borderId="5" fillId="0" fontId="2" numFmtId="0" xfId="0" applyAlignment="1" applyBorder="1" applyFont="1">
      <alignment readingOrder="0"/>
    </xf>
    <xf borderId="6" fillId="4" fontId="2" numFmtId="164" xfId="0" applyAlignment="1" applyBorder="1" applyFont="1" applyNumberFormat="1">
      <alignment readingOrder="0"/>
    </xf>
    <xf borderId="4" fillId="5" fontId="2" numFmtId="165" xfId="0" applyAlignment="1" applyBorder="1" applyFont="1" applyNumberFormat="1">
      <alignment readingOrder="0"/>
    </xf>
    <xf borderId="8" fillId="0" fontId="2" numFmtId="0" xfId="0" applyBorder="1" applyFont="1"/>
    <xf borderId="9" fillId="0" fontId="2" numFmtId="0" xfId="0" applyBorder="1" applyFont="1"/>
    <xf borderId="11" fillId="3" fontId="2" numFmtId="0" xfId="0" applyBorder="1" applyFont="1"/>
    <xf borderId="12" fillId="4" fontId="2" numFmtId="164" xfId="0" applyAlignment="1" applyBorder="1" applyFont="1" applyNumberFormat="1">
      <alignment readingOrder="0"/>
    </xf>
    <xf borderId="1" fillId="6" fontId="2" numFmtId="0" xfId="0" applyBorder="1" applyFont="1"/>
    <xf borderId="0" fillId="0" fontId="6" numFmtId="0" xfId="0" applyAlignment="1" applyFont="1">
      <alignment readingOrder="0"/>
    </xf>
    <xf borderId="13" fillId="0" fontId="2" numFmtId="165" xfId="0" applyAlignment="1" applyBorder="1" applyFont="1" applyNumberFormat="1">
      <alignment readingOrder="0"/>
    </xf>
    <xf borderId="14" fillId="0" fontId="2" numFmtId="0" xfId="0" applyBorder="1" applyFont="1"/>
    <xf borderId="14" fillId="0" fontId="2" numFmtId="0" xfId="0" applyAlignment="1" applyBorder="1" applyFont="1">
      <alignment readingOrder="0"/>
    </xf>
    <xf borderId="15" fillId="0" fontId="2" numFmtId="0" xfId="0" applyAlignment="1" applyBorder="1" applyFont="1">
      <alignment readingOrder="0"/>
    </xf>
    <xf borderId="16" fillId="0" fontId="2" numFmtId="164" xfId="0" applyAlignment="1" applyBorder="1" applyFont="1" applyNumberFormat="1">
      <alignment readingOrder="0"/>
    </xf>
    <xf borderId="17" fillId="0" fontId="2" numFmtId="0" xfId="0" applyAlignment="1" applyBorder="1" applyFont="1">
      <alignment readingOrder="0"/>
    </xf>
    <xf borderId="16" fillId="0" fontId="2" numFmtId="0" xfId="0" applyBorder="1" applyFont="1"/>
    <xf borderId="17" fillId="0" fontId="2" numFmtId="0" xfId="0" applyBorder="1" applyFont="1"/>
    <xf borderId="18" fillId="0" fontId="2" numFmtId="0" xfId="0" applyBorder="1" applyFont="1"/>
    <xf borderId="19" fillId="0" fontId="2" numFmtId="0" xfId="0" applyBorder="1" applyFont="1"/>
    <xf borderId="19" fillId="0" fontId="2" numFmtId="0" xfId="0" applyAlignment="1" applyBorder="1" applyFont="1">
      <alignment readingOrder="0"/>
    </xf>
    <xf borderId="20" fillId="0" fontId="2" numFmtId="0" xfId="0" applyBorder="1" applyFont="1"/>
    <xf borderId="0" fillId="0" fontId="2" numFmtId="0" xfId="0" applyFont="1"/>
    <xf borderId="21" fillId="0" fontId="1" numFmtId="0" xfId="0" applyAlignment="1" applyBorder="1" applyFont="1">
      <alignment readingOrder="0"/>
    </xf>
    <xf borderId="22" fillId="0" fontId="1" numFmtId="0" xfId="0" applyBorder="1" applyFont="1"/>
    <xf borderId="23" fillId="0" fontId="1" numFmtId="0" xfId="0" applyBorder="1" applyFont="1"/>
    <xf borderId="0" fillId="2" fontId="7" numFmtId="165" xfId="0" applyAlignment="1" applyFont="1" applyNumberFormat="1">
      <alignment horizontal="right" vertical="bottom"/>
    </xf>
    <xf borderId="0" fillId="2" fontId="7" numFmtId="0" xfId="0" applyAlignment="1" applyFont="1">
      <alignment vertical="bottom"/>
    </xf>
    <xf borderId="0" fillId="2" fontId="7" numFmtId="0" xfId="0" applyAlignment="1" applyFont="1">
      <alignment horizontal="right" vertical="bottom"/>
    </xf>
    <xf borderId="0" fillId="0" fontId="7" numFmtId="164" xfId="0" applyAlignment="1" applyFont="1" applyNumberFormat="1">
      <alignment horizontal="right" vertical="bottom"/>
    </xf>
    <xf borderId="0" fillId="0" fontId="7" numFmtId="0" xfId="0" applyAlignment="1" applyFont="1">
      <alignment vertical="bottom"/>
    </xf>
    <xf borderId="0" fillId="0" fontId="7" numFmtId="0" xfId="0" applyAlignment="1" applyFont="1">
      <alignment horizontal="right" vertical="bottom"/>
    </xf>
    <xf borderId="0" fillId="5" fontId="7" numFmtId="164" xfId="0" applyAlignment="1" applyFont="1" applyNumberFormat="1">
      <alignment horizontal="right" vertical="bottom"/>
    </xf>
    <xf borderId="0" fillId="5" fontId="7" numFmtId="0" xfId="0" applyAlignment="1" applyFont="1">
      <alignment vertical="bottom"/>
    </xf>
    <xf borderId="0" fillId="5" fontId="7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6.75"/>
    <col customWidth="1" min="4" max="4" width="9.0"/>
    <col customWidth="1" min="5" max="5" width="18.0"/>
    <col customWidth="1" min="6" max="6" width="58.5"/>
  </cols>
  <sheetData>
    <row r="3"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</row>
    <row r="4">
      <c r="B4" s="2">
        <v>2025.0</v>
      </c>
      <c r="C4" s="3" t="s">
        <v>8</v>
      </c>
      <c r="D4" s="4">
        <v>45719.0</v>
      </c>
      <c r="E4" s="5" t="s">
        <v>9</v>
      </c>
      <c r="F4" s="5" t="s">
        <v>10</v>
      </c>
      <c r="G4" s="6">
        <v>34000.0</v>
      </c>
      <c r="H4" s="7">
        <f t="shared" ref="H4:H5" si="1">SUM(G4)</f>
        <v>34000</v>
      </c>
      <c r="I4" s="8"/>
    </row>
    <row r="5">
      <c r="B5" s="9"/>
      <c r="C5" s="10" t="s">
        <v>11</v>
      </c>
      <c r="D5" s="11">
        <v>45701.0</v>
      </c>
      <c r="E5" s="10" t="s">
        <v>9</v>
      </c>
      <c r="F5" s="10" t="s">
        <v>12</v>
      </c>
      <c r="G5" s="10">
        <v>2500.0</v>
      </c>
      <c r="H5" s="7">
        <f t="shared" si="1"/>
        <v>2500</v>
      </c>
      <c r="I5" s="8"/>
    </row>
    <row r="6">
      <c r="B6" s="9"/>
      <c r="C6" s="12" t="s">
        <v>13</v>
      </c>
      <c r="D6" s="13">
        <v>45664.0</v>
      </c>
      <c r="E6" s="14" t="s">
        <v>14</v>
      </c>
      <c r="F6" s="14" t="s">
        <v>15</v>
      </c>
      <c r="G6" s="15">
        <v>60000.0</v>
      </c>
      <c r="I6" s="16"/>
    </row>
    <row r="7">
      <c r="B7" s="9"/>
      <c r="C7" s="9"/>
      <c r="D7" s="17">
        <v>45666.0</v>
      </c>
      <c r="E7" s="18" t="s">
        <v>14</v>
      </c>
      <c r="F7" s="18" t="s">
        <v>16</v>
      </c>
      <c r="G7" s="19">
        <v>260000.0</v>
      </c>
      <c r="I7" s="16"/>
    </row>
    <row r="8">
      <c r="B8" s="9"/>
      <c r="C8" s="9"/>
      <c r="D8" s="20">
        <v>45659.0</v>
      </c>
      <c r="E8" s="21" t="s">
        <v>9</v>
      </c>
      <c r="F8" s="21" t="s">
        <v>17</v>
      </c>
      <c r="G8" s="22">
        <v>10000.0</v>
      </c>
      <c r="I8" s="16"/>
    </row>
    <row r="9">
      <c r="B9" s="9"/>
      <c r="C9" s="9"/>
      <c r="D9" s="20">
        <v>45667.0</v>
      </c>
      <c r="E9" s="21" t="s">
        <v>9</v>
      </c>
      <c r="F9" s="21" t="s">
        <v>18</v>
      </c>
      <c r="G9" s="22">
        <v>12000.0</v>
      </c>
      <c r="I9" s="16"/>
    </row>
    <row r="10">
      <c r="B10" s="9"/>
      <c r="C10" s="9"/>
      <c r="D10" s="20">
        <v>45680.0</v>
      </c>
      <c r="E10" s="21" t="s">
        <v>9</v>
      </c>
      <c r="F10" s="21" t="s">
        <v>19</v>
      </c>
      <c r="G10" s="22">
        <v>11500.0</v>
      </c>
      <c r="I10" s="16"/>
    </row>
    <row r="11">
      <c r="B11" s="9"/>
      <c r="C11" s="23"/>
      <c r="D11" s="24">
        <v>45682.0</v>
      </c>
      <c r="E11" s="25" t="s">
        <v>9</v>
      </c>
      <c r="F11" s="25" t="s">
        <v>20</v>
      </c>
      <c r="G11" s="26">
        <v>30000.0</v>
      </c>
      <c r="H11" s="7">
        <f>sum(G6:G11)</f>
        <v>383500</v>
      </c>
      <c r="I11" s="8"/>
    </row>
    <row r="12">
      <c r="B12" s="27" t="s">
        <v>21</v>
      </c>
      <c r="C12" s="28" t="s">
        <v>22</v>
      </c>
      <c r="D12" s="29">
        <v>45628.0</v>
      </c>
      <c r="E12" s="30" t="s">
        <v>9</v>
      </c>
      <c r="F12" s="30" t="s">
        <v>23</v>
      </c>
      <c r="G12" s="31">
        <v>10000.0</v>
      </c>
      <c r="I12" s="16"/>
    </row>
    <row r="13">
      <c r="B13" s="9"/>
      <c r="C13" s="9"/>
      <c r="D13" s="32">
        <v>45630.0</v>
      </c>
      <c r="E13" s="33" t="s">
        <v>9</v>
      </c>
      <c r="F13" s="33" t="s">
        <v>24</v>
      </c>
      <c r="G13" s="34">
        <v>15000.0</v>
      </c>
      <c r="I13" s="16"/>
    </row>
    <row r="14">
      <c r="B14" s="9"/>
      <c r="C14" s="9"/>
      <c r="D14" s="17">
        <v>45632.0</v>
      </c>
      <c r="E14" s="18" t="s">
        <v>14</v>
      </c>
      <c r="F14" s="18" t="s">
        <v>25</v>
      </c>
      <c r="G14" s="19">
        <v>250000.0</v>
      </c>
      <c r="I14" s="16"/>
    </row>
    <row r="15">
      <c r="B15" s="9"/>
      <c r="C15" s="9"/>
      <c r="D15" s="35">
        <v>45654.0</v>
      </c>
      <c r="E15" s="33" t="s">
        <v>9</v>
      </c>
      <c r="F15" s="33" t="s">
        <v>26</v>
      </c>
      <c r="G15" s="34">
        <v>50000.0</v>
      </c>
      <c r="I15" s="16"/>
    </row>
    <row r="16">
      <c r="B16" s="9"/>
      <c r="C16" s="9"/>
      <c r="D16" s="35">
        <v>45654.0</v>
      </c>
      <c r="E16" s="33" t="s">
        <v>9</v>
      </c>
      <c r="F16" s="33" t="s">
        <v>27</v>
      </c>
      <c r="G16" s="34">
        <v>20000.0</v>
      </c>
      <c r="I16" s="16"/>
    </row>
    <row r="17">
      <c r="B17" s="9"/>
      <c r="C17" s="23"/>
      <c r="D17" s="36">
        <v>45618.0</v>
      </c>
      <c r="E17" s="37" t="s">
        <v>9</v>
      </c>
      <c r="F17" s="37" t="s">
        <v>28</v>
      </c>
      <c r="G17" s="38">
        <v>5000.0</v>
      </c>
      <c r="H17" s="7">
        <f>SUM(G12:G17)</f>
        <v>350000</v>
      </c>
      <c r="I17" s="8"/>
    </row>
    <row r="18">
      <c r="B18" s="9"/>
      <c r="C18" s="12" t="s">
        <v>29</v>
      </c>
      <c r="D18" s="39">
        <v>45597.0</v>
      </c>
      <c r="E18" s="40" t="s">
        <v>9</v>
      </c>
      <c r="F18" s="40" t="s">
        <v>30</v>
      </c>
      <c r="G18" s="41">
        <v>10000.0</v>
      </c>
      <c r="I18" s="16"/>
    </row>
    <row r="19">
      <c r="B19" s="9"/>
      <c r="C19" s="9"/>
      <c r="D19" s="20">
        <v>45570.0</v>
      </c>
      <c r="E19" s="21" t="s">
        <v>9</v>
      </c>
      <c r="F19" s="21" t="s">
        <v>31</v>
      </c>
      <c r="G19" s="22">
        <v>25000.0</v>
      </c>
      <c r="I19" s="16"/>
    </row>
    <row r="20">
      <c r="B20" s="9"/>
      <c r="C20" s="9"/>
      <c r="D20" s="20">
        <v>45573.0</v>
      </c>
      <c r="E20" s="21" t="s">
        <v>9</v>
      </c>
      <c r="F20" s="21" t="s">
        <v>32</v>
      </c>
      <c r="G20" s="22">
        <v>3000.0</v>
      </c>
      <c r="I20" s="16"/>
    </row>
    <row r="21">
      <c r="B21" s="9"/>
      <c r="C21" s="9"/>
      <c r="D21" s="42">
        <v>45581.0</v>
      </c>
      <c r="E21" s="21" t="s">
        <v>9</v>
      </c>
      <c r="F21" s="21" t="s">
        <v>33</v>
      </c>
      <c r="G21" s="22">
        <v>1000.0</v>
      </c>
      <c r="I21" s="16"/>
    </row>
    <row r="22">
      <c r="B22" s="9"/>
      <c r="C22" s="9"/>
      <c r="D22" s="20">
        <v>45600.0</v>
      </c>
      <c r="E22" s="21" t="s">
        <v>9</v>
      </c>
      <c r="F22" s="21" t="s">
        <v>34</v>
      </c>
      <c r="G22" s="22">
        <v>8000.0</v>
      </c>
      <c r="I22" s="16"/>
    </row>
    <row r="23">
      <c r="B23" s="9"/>
      <c r="C23" s="9"/>
      <c r="D23" s="20">
        <v>45604.0</v>
      </c>
      <c r="E23" s="21" t="s">
        <v>9</v>
      </c>
      <c r="F23" s="21" t="s">
        <v>35</v>
      </c>
      <c r="G23" s="22">
        <v>30000.0</v>
      </c>
      <c r="I23" s="16"/>
    </row>
    <row r="24">
      <c r="B24" s="9"/>
      <c r="C24" s="9"/>
      <c r="D24" s="43">
        <v>45609.0</v>
      </c>
      <c r="E24" s="18" t="s">
        <v>14</v>
      </c>
      <c r="F24" s="18" t="s">
        <v>36</v>
      </c>
      <c r="G24" s="19">
        <v>90000.0</v>
      </c>
      <c r="I24" s="16"/>
    </row>
    <row r="25">
      <c r="B25" s="9"/>
      <c r="C25" s="9"/>
      <c r="D25" s="43">
        <v>45612.0</v>
      </c>
      <c r="E25" s="18" t="s">
        <v>14</v>
      </c>
      <c r="F25" s="18" t="s">
        <v>37</v>
      </c>
      <c r="G25" s="19">
        <v>15000.0</v>
      </c>
      <c r="I25" s="16"/>
    </row>
    <row r="26">
      <c r="B26" s="9"/>
      <c r="C26" s="9"/>
      <c r="D26" s="43">
        <v>45612.0</v>
      </c>
      <c r="E26" s="18" t="s">
        <v>14</v>
      </c>
      <c r="F26" s="18" t="s">
        <v>38</v>
      </c>
      <c r="G26" s="19">
        <v>150000.0</v>
      </c>
      <c r="I26" s="16"/>
    </row>
    <row r="27">
      <c r="B27" s="9"/>
      <c r="C27" s="9"/>
      <c r="D27" s="43">
        <v>45612.0</v>
      </c>
      <c r="E27" s="18" t="s">
        <v>14</v>
      </c>
      <c r="F27" s="18" t="s">
        <v>39</v>
      </c>
      <c r="G27" s="19">
        <v>30000.0</v>
      </c>
      <c r="I27" s="16"/>
    </row>
    <row r="28">
      <c r="B28" s="9"/>
      <c r="C28" s="9"/>
      <c r="D28" s="42">
        <v>45617.0</v>
      </c>
      <c r="E28" s="21" t="s">
        <v>9</v>
      </c>
      <c r="F28" s="21" t="s">
        <v>40</v>
      </c>
      <c r="G28" s="22">
        <v>6300.0</v>
      </c>
      <c r="I28" s="16"/>
    </row>
    <row r="29">
      <c r="B29" s="9"/>
      <c r="C29" s="9"/>
      <c r="D29" s="42">
        <v>45616.0</v>
      </c>
      <c r="E29" s="21" t="s">
        <v>9</v>
      </c>
      <c r="F29" s="21" t="s">
        <v>41</v>
      </c>
      <c r="G29" s="22">
        <v>2000.0</v>
      </c>
      <c r="I29" s="16"/>
    </row>
    <row r="30">
      <c r="B30" s="9"/>
      <c r="C30" s="9"/>
      <c r="D30" s="42">
        <v>45617.0</v>
      </c>
      <c r="E30" s="21" t="s">
        <v>9</v>
      </c>
      <c r="F30" s="21" t="s">
        <v>42</v>
      </c>
      <c r="G30" s="22">
        <v>10000.0</v>
      </c>
      <c r="I30" s="16"/>
    </row>
    <row r="31">
      <c r="B31" s="9"/>
      <c r="C31" s="9"/>
      <c r="D31" s="42">
        <v>45619.0</v>
      </c>
      <c r="E31" s="21" t="s">
        <v>9</v>
      </c>
      <c r="F31" s="21" t="s">
        <v>43</v>
      </c>
      <c r="G31" s="22">
        <v>9668.0</v>
      </c>
      <c r="I31" s="16"/>
    </row>
    <row r="32">
      <c r="B32" s="9"/>
      <c r="C32" s="9"/>
      <c r="D32" s="42">
        <v>45624.0</v>
      </c>
      <c r="E32" s="21" t="s">
        <v>9</v>
      </c>
      <c r="F32" s="21" t="s">
        <v>44</v>
      </c>
      <c r="G32" s="22">
        <v>10000.0</v>
      </c>
      <c r="I32" s="16"/>
    </row>
    <row r="33">
      <c r="B33" s="9"/>
      <c r="C33" s="9"/>
      <c r="D33" s="42">
        <v>45625.0</v>
      </c>
      <c r="E33" s="21" t="s">
        <v>9</v>
      </c>
      <c r="F33" s="21" t="s">
        <v>45</v>
      </c>
      <c r="G33" s="22">
        <v>12000.0</v>
      </c>
      <c r="I33" s="16"/>
    </row>
    <row r="34">
      <c r="B34" s="9"/>
      <c r="C34" s="9"/>
      <c r="D34" s="43">
        <v>45625.0</v>
      </c>
      <c r="E34" s="18" t="s">
        <v>14</v>
      </c>
      <c r="F34" s="18" t="s">
        <v>46</v>
      </c>
      <c r="G34" s="19">
        <v>15000.0</v>
      </c>
      <c r="I34" s="16"/>
    </row>
    <row r="35">
      <c r="B35" s="9"/>
      <c r="C35" s="9"/>
      <c r="D35" s="43">
        <v>45624.0</v>
      </c>
      <c r="E35" s="18" t="s">
        <v>14</v>
      </c>
      <c r="F35" s="18" t="s">
        <v>47</v>
      </c>
      <c r="G35" s="19">
        <v>45000.0</v>
      </c>
      <c r="I35" s="16"/>
    </row>
    <row r="36">
      <c r="B36" s="9"/>
      <c r="C36" s="9"/>
      <c r="D36" s="42">
        <v>45621.0</v>
      </c>
      <c r="E36" s="21" t="s">
        <v>9</v>
      </c>
      <c r="F36" s="21" t="s">
        <v>48</v>
      </c>
      <c r="G36" s="22">
        <v>12616.0</v>
      </c>
      <c r="I36" s="16"/>
    </row>
    <row r="37">
      <c r="B37" s="9"/>
      <c r="C37" s="9"/>
      <c r="D37" s="42">
        <v>45608.0</v>
      </c>
      <c r="E37" s="21" t="s">
        <v>9</v>
      </c>
      <c r="F37" s="21" t="s">
        <v>49</v>
      </c>
      <c r="G37" s="22">
        <v>500.0</v>
      </c>
      <c r="I37" s="16"/>
    </row>
    <row r="38">
      <c r="B38" s="9"/>
      <c r="C38" s="9"/>
      <c r="D38" s="42">
        <v>45611.0</v>
      </c>
      <c r="E38" s="21" t="s">
        <v>9</v>
      </c>
      <c r="F38" s="21" t="s">
        <v>50</v>
      </c>
      <c r="G38" s="22">
        <v>300.0</v>
      </c>
      <c r="I38" s="16"/>
    </row>
    <row r="39">
      <c r="B39" s="9"/>
      <c r="C39" s="9"/>
      <c r="D39" s="42">
        <v>45608.0</v>
      </c>
      <c r="E39" s="21" t="s">
        <v>9</v>
      </c>
      <c r="F39" s="21" t="s">
        <v>51</v>
      </c>
      <c r="G39" s="22">
        <v>150.0</v>
      </c>
      <c r="I39" s="16"/>
    </row>
    <row r="40">
      <c r="B40" s="9"/>
      <c r="C40" s="9"/>
      <c r="D40" s="42">
        <v>45610.0</v>
      </c>
      <c r="E40" s="21" t="s">
        <v>9</v>
      </c>
      <c r="F40" s="21" t="s">
        <v>52</v>
      </c>
      <c r="G40" s="22">
        <v>10000.0</v>
      </c>
      <c r="I40" s="16"/>
    </row>
    <row r="41">
      <c r="B41" s="9"/>
      <c r="C41" s="23"/>
      <c r="D41" s="44">
        <v>45625.0</v>
      </c>
      <c r="E41" s="45" t="s">
        <v>14</v>
      </c>
      <c r="F41" s="45" t="s">
        <v>53</v>
      </c>
      <c r="G41" s="46">
        <v>20000.0</v>
      </c>
      <c r="H41" s="7">
        <f>sum(G18:G41)</f>
        <v>515534</v>
      </c>
      <c r="I41" s="8"/>
    </row>
    <row r="42">
      <c r="B42" s="9"/>
      <c r="C42" s="28" t="s">
        <v>54</v>
      </c>
      <c r="D42" s="29">
        <v>45566.0</v>
      </c>
      <c r="E42" s="30" t="s">
        <v>9</v>
      </c>
      <c r="F42" s="30" t="s">
        <v>55</v>
      </c>
      <c r="G42" s="31">
        <v>10000.0</v>
      </c>
      <c r="I42" s="16"/>
    </row>
    <row r="43">
      <c r="B43" s="9"/>
      <c r="C43" s="9"/>
      <c r="D43" s="32">
        <v>45569.0</v>
      </c>
      <c r="E43" s="33" t="s">
        <v>9</v>
      </c>
      <c r="F43" s="33" t="s">
        <v>56</v>
      </c>
      <c r="G43" s="34">
        <v>15000.0</v>
      </c>
      <c r="I43" s="16"/>
    </row>
    <row r="44">
      <c r="B44" s="9"/>
      <c r="C44" s="9"/>
      <c r="D44" s="35">
        <v>45581.0</v>
      </c>
      <c r="E44" s="33" t="s">
        <v>9</v>
      </c>
      <c r="F44" s="33" t="s">
        <v>57</v>
      </c>
      <c r="G44" s="34">
        <v>26000.0</v>
      </c>
      <c r="I44" s="16"/>
    </row>
    <row r="45">
      <c r="B45" s="9"/>
      <c r="C45" s="9"/>
      <c r="D45" s="35">
        <v>45584.0</v>
      </c>
      <c r="E45" s="33" t="s">
        <v>9</v>
      </c>
      <c r="F45" s="33" t="s">
        <v>58</v>
      </c>
      <c r="G45" s="34">
        <v>16237.0</v>
      </c>
      <c r="I45" s="16"/>
    </row>
    <row r="46">
      <c r="B46" s="9"/>
      <c r="C46" s="9"/>
      <c r="D46" s="35">
        <v>45584.0</v>
      </c>
      <c r="E46" s="33" t="s">
        <v>9</v>
      </c>
      <c r="F46" s="33" t="s">
        <v>59</v>
      </c>
      <c r="G46" s="34">
        <v>58000.0</v>
      </c>
      <c r="I46" s="16"/>
    </row>
    <row r="47">
      <c r="B47" s="9"/>
      <c r="C47" s="9"/>
      <c r="D47" s="43">
        <v>45586.0</v>
      </c>
      <c r="E47" s="18" t="s">
        <v>14</v>
      </c>
      <c r="F47" s="18" t="s">
        <v>60</v>
      </c>
      <c r="G47" s="19">
        <v>50000.0</v>
      </c>
      <c r="I47" s="16"/>
    </row>
    <row r="48">
      <c r="B48" s="9"/>
      <c r="C48" s="23"/>
      <c r="D48" s="36">
        <v>45587.0</v>
      </c>
      <c r="E48" s="37" t="s">
        <v>9</v>
      </c>
      <c r="F48" s="37" t="s">
        <v>61</v>
      </c>
      <c r="G48" s="38">
        <v>12000.0</v>
      </c>
      <c r="H48" s="7">
        <f>sum(G42:G48)</f>
        <v>187237</v>
      </c>
      <c r="I48" s="8"/>
    </row>
    <row r="49">
      <c r="B49" s="9"/>
      <c r="C49" s="47" t="s">
        <v>62</v>
      </c>
      <c r="D49" s="48">
        <v>45324.0</v>
      </c>
      <c r="E49" s="49" t="s">
        <v>9</v>
      </c>
      <c r="F49" s="49" t="s">
        <v>30</v>
      </c>
      <c r="G49" s="50">
        <v>10000.0</v>
      </c>
      <c r="I49" s="16"/>
    </row>
    <row r="50">
      <c r="B50" s="9"/>
      <c r="C50" s="9"/>
      <c r="D50" s="17">
        <v>45546.0</v>
      </c>
      <c r="E50" s="18" t="s">
        <v>14</v>
      </c>
      <c r="F50" s="18" t="s">
        <v>63</v>
      </c>
      <c r="G50" s="19">
        <v>100000.0</v>
      </c>
      <c r="I50" s="16"/>
    </row>
    <row r="51">
      <c r="B51" s="9"/>
      <c r="C51" s="9"/>
      <c r="D51" s="51">
        <v>45558.0</v>
      </c>
      <c r="E51" s="52" t="s">
        <v>9</v>
      </c>
      <c r="F51" s="52" t="s">
        <v>64</v>
      </c>
      <c r="G51" s="53">
        <v>18000.0</v>
      </c>
      <c r="I51" s="16"/>
    </row>
    <row r="52">
      <c r="B52" s="9"/>
      <c r="C52" s="23"/>
      <c r="D52" s="54">
        <v>45546.0</v>
      </c>
      <c r="E52" s="55" t="s">
        <v>9</v>
      </c>
      <c r="F52" s="55" t="s">
        <v>65</v>
      </c>
      <c r="G52" s="56">
        <v>12000.0</v>
      </c>
      <c r="H52" s="7">
        <f>sum(G49:G52)</f>
        <v>140000</v>
      </c>
      <c r="I52" s="8"/>
    </row>
    <row r="53">
      <c r="B53" s="9"/>
      <c r="C53" s="47" t="s">
        <v>66</v>
      </c>
      <c r="D53" s="13">
        <v>45509.0</v>
      </c>
      <c r="E53" s="14" t="s">
        <v>14</v>
      </c>
      <c r="F53" s="14" t="s">
        <v>67</v>
      </c>
      <c r="G53" s="15">
        <v>72841.0</v>
      </c>
      <c r="I53" s="16"/>
    </row>
    <row r="54">
      <c r="B54" s="9"/>
      <c r="C54" s="9"/>
      <c r="D54" s="51">
        <v>45506.0</v>
      </c>
      <c r="E54" s="52" t="s">
        <v>9</v>
      </c>
      <c r="F54" s="52" t="s">
        <v>68</v>
      </c>
      <c r="G54" s="53">
        <v>10000.0</v>
      </c>
      <c r="I54" s="16"/>
    </row>
    <row r="55">
      <c r="B55" s="9"/>
      <c r="C55" s="9"/>
      <c r="D55" s="51">
        <v>45511.0</v>
      </c>
      <c r="E55" s="52" t="s">
        <v>9</v>
      </c>
      <c r="F55" s="52" t="s">
        <v>69</v>
      </c>
      <c r="G55" s="53">
        <v>9500.0</v>
      </c>
      <c r="I55" s="16"/>
    </row>
    <row r="56">
      <c r="B56" s="9"/>
      <c r="C56" s="9"/>
      <c r="D56" s="51">
        <v>45514.0</v>
      </c>
      <c r="E56" s="52" t="s">
        <v>9</v>
      </c>
      <c r="F56" s="52" t="s">
        <v>70</v>
      </c>
      <c r="G56" s="53">
        <v>3930.0</v>
      </c>
      <c r="I56" s="16"/>
    </row>
    <row r="57">
      <c r="B57" s="9"/>
      <c r="C57" s="9"/>
      <c r="D57" s="51">
        <v>45524.0</v>
      </c>
      <c r="E57" s="52" t="s">
        <v>9</v>
      </c>
      <c r="F57" s="52" t="s">
        <v>71</v>
      </c>
      <c r="G57" s="53">
        <v>10000.0</v>
      </c>
      <c r="I57" s="16"/>
    </row>
    <row r="58">
      <c r="B58" s="9"/>
      <c r="C58" s="9"/>
      <c r="D58" s="51">
        <v>45524.0</v>
      </c>
      <c r="E58" s="52" t="s">
        <v>9</v>
      </c>
      <c r="F58" s="52" t="s">
        <v>72</v>
      </c>
      <c r="G58" s="53">
        <v>6000.0</v>
      </c>
      <c r="I58" s="16"/>
    </row>
    <row r="59">
      <c r="B59" s="9"/>
      <c r="C59" s="9"/>
      <c r="D59" s="51">
        <v>45524.0</v>
      </c>
      <c r="E59" s="52" t="s">
        <v>9</v>
      </c>
      <c r="F59" s="52" t="s">
        <v>73</v>
      </c>
      <c r="G59" s="53">
        <v>1000.0</v>
      </c>
      <c r="I59" s="16"/>
    </row>
    <row r="60">
      <c r="B60" s="9"/>
      <c r="C60" s="9"/>
      <c r="D60" s="51">
        <v>45524.0</v>
      </c>
      <c r="E60" s="52" t="s">
        <v>9</v>
      </c>
      <c r="F60" s="52" t="s">
        <v>74</v>
      </c>
      <c r="G60" s="53">
        <v>1000.0</v>
      </c>
      <c r="I60" s="16"/>
    </row>
    <row r="61">
      <c r="B61" s="9"/>
      <c r="C61" s="9"/>
      <c r="D61" s="51">
        <v>45521.0</v>
      </c>
      <c r="E61" s="52" t="s">
        <v>9</v>
      </c>
      <c r="F61" s="52" t="s">
        <v>75</v>
      </c>
      <c r="G61" s="53">
        <v>1780.0</v>
      </c>
      <c r="I61" s="16"/>
    </row>
    <row r="62">
      <c r="B62" s="9"/>
      <c r="C62" s="9"/>
      <c r="D62" s="51">
        <v>45527.0</v>
      </c>
      <c r="E62" s="52" t="s">
        <v>9</v>
      </c>
      <c r="F62" s="52" t="s">
        <v>76</v>
      </c>
      <c r="G62" s="53">
        <v>5500.0</v>
      </c>
      <c r="I62" s="16"/>
    </row>
    <row r="63">
      <c r="B63" s="9"/>
      <c r="C63" s="9"/>
      <c r="D63" s="51">
        <v>45518.0</v>
      </c>
      <c r="E63" s="52" t="s">
        <v>9</v>
      </c>
      <c r="F63" s="52" t="s">
        <v>77</v>
      </c>
      <c r="G63" s="53">
        <v>2200.0</v>
      </c>
      <c r="I63" s="16"/>
    </row>
    <row r="64">
      <c r="B64" s="9"/>
      <c r="C64" s="9"/>
      <c r="D64" s="51">
        <v>45518.0</v>
      </c>
      <c r="E64" s="52" t="s">
        <v>9</v>
      </c>
      <c r="F64" s="52" t="s">
        <v>78</v>
      </c>
      <c r="G64" s="53">
        <v>200.0</v>
      </c>
      <c r="I64" s="16"/>
    </row>
    <row r="65">
      <c r="B65" s="9"/>
      <c r="C65" s="9"/>
      <c r="D65" s="51">
        <v>45520.0</v>
      </c>
      <c r="E65" s="52" t="s">
        <v>9</v>
      </c>
      <c r="F65" s="52" t="s">
        <v>79</v>
      </c>
      <c r="G65" s="53">
        <v>680.0</v>
      </c>
      <c r="I65" s="16"/>
    </row>
    <row r="66">
      <c r="B66" s="9"/>
      <c r="C66" s="9"/>
      <c r="D66" s="51">
        <v>45520.0</v>
      </c>
      <c r="E66" s="52" t="s">
        <v>9</v>
      </c>
      <c r="F66" s="52" t="s">
        <v>80</v>
      </c>
      <c r="G66" s="53">
        <v>150.0</v>
      </c>
      <c r="I66" s="16"/>
    </row>
    <row r="67">
      <c r="B67" s="9"/>
      <c r="C67" s="9"/>
      <c r="D67" s="51">
        <v>45527.0</v>
      </c>
      <c r="E67" s="52" t="s">
        <v>9</v>
      </c>
      <c r="F67" s="52" t="s">
        <v>81</v>
      </c>
      <c r="G67" s="53">
        <v>100.0</v>
      </c>
      <c r="I67" s="16"/>
    </row>
    <row r="68">
      <c r="B68" s="9"/>
      <c r="C68" s="9"/>
      <c r="D68" s="51">
        <v>45532.0</v>
      </c>
      <c r="E68" s="52" t="s">
        <v>9</v>
      </c>
      <c r="F68" s="52" t="s">
        <v>82</v>
      </c>
      <c r="G68" s="53">
        <v>5000.0</v>
      </c>
      <c r="I68" s="16"/>
    </row>
    <row r="69">
      <c r="B69" s="9"/>
      <c r="C69" s="9"/>
      <c r="D69" s="51">
        <v>45532.0</v>
      </c>
      <c r="E69" s="52" t="s">
        <v>9</v>
      </c>
      <c r="F69" s="52" t="s">
        <v>83</v>
      </c>
      <c r="G69" s="53">
        <v>10000.0</v>
      </c>
      <c r="I69" s="16"/>
    </row>
    <row r="70">
      <c r="B70" s="9"/>
      <c r="C70" s="9"/>
      <c r="D70" s="51">
        <v>45532.0</v>
      </c>
      <c r="E70" s="52" t="s">
        <v>9</v>
      </c>
      <c r="F70" s="52" t="s">
        <v>84</v>
      </c>
      <c r="G70" s="53">
        <v>1200.0</v>
      </c>
      <c r="I70" s="16"/>
    </row>
    <row r="71">
      <c r="B71" s="9"/>
      <c r="C71" s="9"/>
      <c r="D71" s="51">
        <v>45532.0</v>
      </c>
      <c r="E71" s="52" t="s">
        <v>9</v>
      </c>
      <c r="F71" s="52" t="s">
        <v>85</v>
      </c>
      <c r="G71" s="53">
        <v>596.0</v>
      </c>
      <c r="I71" s="16"/>
    </row>
    <row r="72">
      <c r="B72" s="9"/>
      <c r="C72" s="9"/>
      <c r="D72" s="51">
        <v>45532.0</v>
      </c>
      <c r="E72" s="52" t="s">
        <v>9</v>
      </c>
      <c r="F72" s="52" t="s">
        <v>86</v>
      </c>
      <c r="G72" s="53">
        <v>3490.0</v>
      </c>
      <c r="I72" s="16"/>
    </row>
    <row r="73">
      <c r="B73" s="9"/>
      <c r="C73" s="9"/>
      <c r="D73" s="51">
        <v>45531.0</v>
      </c>
      <c r="E73" s="52" t="s">
        <v>9</v>
      </c>
      <c r="F73" s="52" t="s">
        <v>87</v>
      </c>
      <c r="G73" s="53">
        <v>190.0</v>
      </c>
      <c r="I73" s="16"/>
    </row>
    <row r="74">
      <c r="B74" s="9"/>
      <c r="C74" s="9"/>
      <c r="D74" s="51">
        <v>45531.0</v>
      </c>
      <c r="E74" s="52" t="s">
        <v>9</v>
      </c>
      <c r="F74" s="52" t="s">
        <v>88</v>
      </c>
      <c r="G74" s="53">
        <v>80.0</v>
      </c>
      <c r="I74" s="16"/>
    </row>
    <row r="75">
      <c r="B75" s="9"/>
      <c r="C75" s="9"/>
      <c r="D75" s="51">
        <v>45532.0</v>
      </c>
      <c r="E75" s="52" t="s">
        <v>9</v>
      </c>
      <c r="F75" s="52" t="s">
        <v>89</v>
      </c>
      <c r="G75" s="53">
        <v>12000.0</v>
      </c>
      <c r="I75" s="16"/>
    </row>
    <row r="76">
      <c r="B76" s="9"/>
      <c r="C76" s="9"/>
      <c r="D76" s="51">
        <v>45531.0</v>
      </c>
      <c r="E76" s="52" t="s">
        <v>9</v>
      </c>
      <c r="F76" s="52" t="s">
        <v>90</v>
      </c>
      <c r="G76" s="53">
        <v>1500.0</v>
      </c>
      <c r="I76" s="16"/>
    </row>
    <row r="77">
      <c r="B77" s="9"/>
      <c r="C77" s="9"/>
      <c r="D77" s="51">
        <v>45534.0</v>
      </c>
      <c r="E77" s="52" t="s">
        <v>9</v>
      </c>
      <c r="F77" s="52" t="s">
        <v>91</v>
      </c>
      <c r="G77" s="53">
        <v>11984.0</v>
      </c>
      <c r="I77" s="16"/>
    </row>
    <row r="78">
      <c r="B78" s="9"/>
      <c r="C78" s="9"/>
      <c r="D78" s="51">
        <v>45531.0</v>
      </c>
      <c r="E78" s="52" t="s">
        <v>9</v>
      </c>
      <c r="F78" s="52" t="s">
        <v>92</v>
      </c>
      <c r="G78" s="53">
        <v>310.0</v>
      </c>
      <c r="I78" s="16"/>
    </row>
    <row r="79">
      <c r="B79" s="9"/>
      <c r="C79" s="23"/>
      <c r="D79" s="57">
        <v>45534.0</v>
      </c>
      <c r="E79" s="45" t="s">
        <v>14</v>
      </c>
      <c r="F79" s="45" t="s">
        <v>93</v>
      </c>
      <c r="G79" s="46">
        <v>20000.0</v>
      </c>
      <c r="H79" s="7">
        <f>sum(G53:G79)</f>
        <v>191231</v>
      </c>
      <c r="I79" s="8"/>
    </row>
    <row r="80">
      <c r="B80" s="9"/>
      <c r="C80" s="28" t="s">
        <v>94</v>
      </c>
      <c r="D80" s="29">
        <v>45496.0</v>
      </c>
      <c r="E80" s="30" t="s">
        <v>9</v>
      </c>
      <c r="F80" s="30" t="s">
        <v>95</v>
      </c>
      <c r="G80" s="31">
        <v>12001.0</v>
      </c>
      <c r="I80" s="16"/>
    </row>
    <row r="81">
      <c r="B81" s="9"/>
      <c r="C81" s="9"/>
      <c r="D81" s="17">
        <v>45499.0</v>
      </c>
      <c r="E81" s="18" t="s">
        <v>14</v>
      </c>
      <c r="F81" s="18" t="s">
        <v>96</v>
      </c>
      <c r="G81" s="19">
        <v>100000.0</v>
      </c>
      <c r="I81" s="16"/>
    </row>
    <row r="82">
      <c r="B82" s="9"/>
      <c r="C82" s="9"/>
      <c r="D82" s="32">
        <v>45499.0</v>
      </c>
      <c r="E82" s="33" t="s">
        <v>9</v>
      </c>
      <c r="F82" s="33" t="s">
        <v>97</v>
      </c>
      <c r="G82" s="34">
        <v>9000.0</v>
      </c>
      <c r="I82" s="16"/>
    </row>
    <row r="83">
      <c r="B83" s="9"/>
      <c r="C83" s="9"/>
      <c r="D83" s="32">
        <v>45494.0</v>
      </c>
      <c r="E83" s="33" t="s">
        <v>9</v>
      </c>
      <c r="F83" s="33" t="s">
        <v>98</v>
      </c>
      <c r="G83" s="34">
        <v>1700.0</v>
      </c>
      <c r="I83" s="16"/>
    </row>
    <row r="84">
      <c r="B84" s="9"/>
      <c r="C84" s="9"/>
      <c r="D84" s="32">
        <v>45495.0</v>
      </c>
      <c r="E84" s="33" t="s">
        <v>9</v>
      </c>
      <c r="F84" s="33" t="s">
        <v>99</v>
      </c>
      <c r="G84" s="34">
        <v>8670.0</v>
      </c>
      <c r="I84" s="16"/>
    </row>
    <row r="85">
      <c r="B85" s="9"/>
      <c r="C85" s="9"/>
      <c r="D85" s="32">
        <v>45506.0</v>
      </c>
      <c r="E85" s="33" t="s">
        <v>9</v>
      </c>
      <c r="F85" s="33" t="s">
        <v>100</v>
      </c>
      <c r="G85" s="34">
        <v>2642.0</v>
      </c>
      <c r="I85" s="16"/>
    </row>
    <row r="86">
      <c r="B86" s="9"/>
      <c r="C86" s="23"/>
      <c r="D86" s="58">
        <v>45506.0</v>
      </c>
      <c r="E86" s="37" t="s">
        <v>14</v>
      </c>
      <c r="F86" s="37" t="s">
        <v>101</v>
      </c>
      <c r="G86" s="38">
        <v>26950.0</v>
      </c>
      <c r="H86" s="7">
        <f>sum(G80:G86)</f>
        <v>160963</v>
      </c>
      <c r="I86" s="8"/>
    </row>
    <row r="87">
      <c r="B87" s="9"/>
      <c r="C87" s="47" t="s">
        <v>102</v>
      </c>
      <c r="D87" s="48">
        <v>45436.0</v>
      </c>
      <c r="E87" s="49" t="s">
        <v>103</v>
      </c>
      <c r="F87" s="49" t="s">
        <v>104</v>
      </c>
      <c r="G87" s="50">
        <v>158000.0</v>
      </c>
      <c r="I87" s="16"/>
    </row>
    <row r="88">
      <c r="B88" s="9"/>
      <c r="C88" s="9"/>
      <c r="D88" s="51">
        <v>45439.0</v>
      </c>
      <c r="E88" s="49" t="s">
        <v>103</v>
      </c>
      <c r="F88" s="52" t="s">
        <v>105</v>
      </c>
      <c r="G88" s="53">
        <v>21785.0</v>
      </c>
      <c r="I88" s="16"/>
    </row>
    <row r="89">
      <c r="B89" s="9"/>
      <c r="C89" s="9"/>
      <c r="D89" s="51">
        <v>45439.0</v>
      </c>
      <c r="E89" s="49" t="s">
        <v>103</v>
      </c>
      <c r="F89" s="52" t="s">
        <v>106</v>
      </c>
      <c r="G89" s="53">
        <v>250.0</v>
      </c>
      <c r="I89" s="16"/>
    </row>
    <row r="90">
      <c r="B90" s="9"/>
      <c r="C90" s="9"/>
      <c r="D90" s="51">
        <v>45445.0</v>
      </c>
      <c r="E90" s="49" t="s">
        <v>103</v>
      </c>
      <c r="F90" s="52" t="s">
        <v>107</v>
      </c>
      <c r="G90" s="53">
        <v>10000.0</v>
      </c>
      <c r="I90" s="16"/>
    </row>
    <row r="91">
      <c r="B91" s="9"/>
      <c r="C91" s="9"/>
      <c r="D91" s="17">
        <v>45450.0</v>
      </c>
      <c r="E91" s="18" t="s">
        <v>14</v>
      </c>
      <c r="F91" s="18" t="s">
        <v>108</v>
      </c>
      <c r="G91" s="19">
        <v>50000.0</v>
      </c>
      <c r="I91" s="16"/>
    </row>
    <row r="92">
      <c r="B92" s="9"/>
      <c r="C92" s="9"/>
      <c r="D92" s="51">
        <v>45457.0</v>
      </c>
      <c r="E92" s="49" t="s">
        <v>103</v>
      </c>
      <c r="F92" s="52" t="s">
        <v>109</v>
      </c>
      <c r="G92" s="53">
        <v>14000.0</v>
      </c>
      <c r="I92" s="16"/>
    </row>
    <row r="93">
      <c r="B93" s="9"/>
      <c r="C93" s="9"/>
      <c r="D93" s="51">
        <v>45461.0</v>
      </c>
      <c r="E93" s="49" t="s">
        <v>103</v>
      </c>
      <c r="F93" s="52" t="s">
        <v>110</v>
      </c>
      <c r="G93" s="53">
        <v>20000.0</v>
      </c>
      <c r="I93" s="16"/>
    </row>
    <row r="94">
      <c r="B94" s="9"/>
      <c r="C94" s="9"/>
      <c r="D94" s="51">
        <v>45474.0</v>
      </c>
      <c r="E94" s="49" t="s">
        <v>103</v>
      </c>
      <c r="F94" s="52" t="s">
        <v>111</v>
      </c>
      <c r="G94" s="53">
        <v>10000.0</v>
      </c>
      <c r="I94" s="16"/>
    </row>
    <row r="95">
      <c r="B95" s="9"/>
      <c r="C95" s="9"/>
      <c r="D95" s="51">
        <v>45474.0</v>
      </c>
      <c r="E95" s="49" t="s">
        <v>103</v>
      </c>
      <c r="F95" s="52" t="s">
        <v>112</v>
      </c>
      <c r="G95" s="53">
        <v>200.0</v>
      </c>
      <c r="I95" s="16"/>
    </row>
    <row r="96">
      <c r="B96" s="9"/>
      <c r="C96" s="9"/>
      <c r="D96" s="17">
        <v>45481.0</v>
      </c>
      <c r="E96" s="18" t="s">
        <v>14</v>
      </c>
      <c r="F96" s="18" t="s">
        <v>96</v>
      </c>
      <c r="G96" s="19">
        <v>50000.0</v>
      </c>
      <c r="I96" s="16"/>
    </row>
    <row r="97">
      <c r="B97" s="9"/>
      <c r="C97" s="9"/>
      <c r="D97" s="17">
        <v>45491.0</v>
      </c>
      <c r="E97" s="18" t="s">
        <v>14</v>
      </c>
      <c r="F97" s="18" t="s">
        <v>113</v>
      </c>
      <c r="G97" s="19">
        <v>14400.0</v>
      </c>
      <c r="I97" s="16"/>
    </row>
    <row r="98">
      <c r="B98" s="9"/>
      <c r="C98" s="9"/>
      <c r="D98" s="51">
        <v>45487.0</v>
      </c>
      <c r="E98" s="49" t="s">
        <v>103</v>
      </c>
      <c r="F98" s="52" t="s">
        <v>114</v>
      </c>
      <c r="G98" s="53">
        <v>2800.0</v>
      </c>
      <c r="I98" s="16"/>
    </row>
    <row r="99">
      <c r="B99" s="9"/>
      <c r="C99" s="9"/>
      <c r="D99" s="51">
        <v>45488.0</v>
      </c>
      <c r="E99" s="49" t="s">
        <v>103</v>
      </c>
      <c r="F99" s="52" t="s">
        <v>115</v>
      </c>
      <c r="G99" s="53">
        <v>1400.0</v>
      </c>
      <c r="I99" s="16"/>
    </row>
    <row r="100">
      <c r="B100" s="9"/>
      <c r="C100" s="9"/>
      <c r="D100" s="51">
        <v>45482.0</v>
      </c>
      <c r="E100" s="49" t="s">
        <v>103</v>
      </c>
      <c r="F100" s="52" t="s">
        <v>116</v>
      </c>
      <c r="G100" s="53">
        <v>179.0</v>
      </c>
      <c r="I100" s="16"/>
    </row>
    <row r="101">
      <c r="B101" s="9"/>
      <c r="C101" s="9"/>
      <c r="D101" s="51">
        <v>45482.0</v>
      </c>
      <c r="E101" s="49" t="s">
        <v>103</v>
      </c>
      <c r="F101" s="52" t="s">
        <v>117</v>
      </c>
      <c r="G101" s="53">
        <v>1610.0</v>
      </c>
      <c r="I101" s="16"/>
    </row>
    <row r="102">
      <c r="B102" s="9"/>
      <c r="C102" s="9"/>
      <c r="D102" s="51">
        <v>45489.0</v>
      </c>
      <c r="E102" s="49" t="s">
        <v>103</v>
      </c>
      <c r="F102" s="52" t="s">
        <v>118</v>
      </c>
      <c r="G102" s="53">
        <v>8725.0</v>
      </c>
      <c r="I102" s="16"/>
    </row>
    <row r="103">
      <c r="B103" s="9"/>
      <c r="C103" s="9"/>
      <c r="D103" s="51">
        <v>45474.0</v>
      </c>
      <c r="E103" s="49" t="s">
        <v>103</v>
      </c>
      <c r="F103" s="52" t="s">
        <v>119</v>
      </c>
      <c r="G103" s="53">
        <v>2345.0</v>
      </c>
      <c r="I103" s="16"/>
    </row>
    <row r="104">
      <c r="B104" s="9"/>
      <c r="C104" s="23"/>
      <c r="D104" s="54">
        <v>45481.0</v>
      </c>
      <c r="E104" s="49" t="s">
        <v>103</v>
      </c>
      <c r="F104" s="55" t="s">
        <v>120</v>
      </c>
      <c r="G104" s="56">
        <v>464.75</v>
      </c>
      <c r="H104" s="7">
        <f>sum(G87:G104)</f>
        <v>366158.75</v>
      </c>
      <c r="I104" s="8"/>
    </row>
    <row r="105">
      <c r="B105" s="9"/>
      <c r="C105" s="28" t="s">
        <v>121</v>
      </c>
      <c r="D105" s="29">
        <v>45357.0</v>
      </c>
      <c r="E105" s="30" t="s">
        <v>9</v>
      </c>
      <c r="F105" s="30" t="s">
        <v>122</v>
      </c>
      <c r="G105" s="31">
        <v>3000.0</v>
      </c>
      <c r="I105" s="16"/>
    </row>
    <row r="106">
      <c r="B106" s="9"/>
      <c r="C106" s="9"/>
      <c r="D106" s="32">
        <v>45363.0</v>
      </c>
      <c r="E106" s="33" t="s">
        <v>9</v>
      </c>
      <c r="F106" s="33" t="s">
        <v>123</v>
      </c>
      <c r="G106" s="34">
        <v>3000.0</v>
      </c>
      <c r="I106" s="16"/>
    </row>
    <row r="107">
      <c r="B107" s="9"/>
      <c r="C107" s="9"/>
      <c r="D107" s="32">
        <v>45374.0</v>
      </c>
      <c r="E107" s="33" t="s">
        <v>9</v>
      </c>
      <c r="F107" s="33" t="s">
        <v>124</v>
      </c>
      <c r="G107" s="34">
        <v>31300.0</v>
      </c>
      <c r="I107" s="16"/>
    </row>
    <row r="108">
      <c r="B108" s="9"/>
      <c r="C108" s="9"/>
      <c r="D108" s="32">
        <v>45374.0</v>
      </c>
      <c r="E108" s="33" t="s">
        <v>9</v>
      </c>
      <c r="F108" s="33" t="s">
        <v>125</v>
      </c>
      <c r="G108" s="34">
        <v>9700.0</v>
      </c>
      <c r="I108" s="16"/>
    </row>
    <row r="109">
      <c r="B109" s="9"/>
      <c r="C109" s="9"/>
      <c r="D109" s="32">
        <v>45382.0</v>
      </c>
      <c r="E109" s="33" t="s">
        <v>9</v>
      </c>
      <c r="F109" s="33" t="s">
        <v>126</v>
      </c>
      <c r="G109" s="34">
        <v>1000.0</v>
      </c>
      <c r="I109" s="16"/>
    </row>
    <row r="110">
      <c r="B110" s="9"/>
      <c r="C110" s="9"/>
      <c r="D110" s="32">
        <v>45384.0</v>
      </c>
      <c r="E110" s="33" t="s">
        <v>9</v>
      </c>
      <c r="F110" s="33" t="s">
        <v>127</v>
      </c>
      <c r="G110" s="34">
        <v>10000.0</v>
      </c>
      <c r="I110" s="16"/>
    </row>
    <row r="111">
      <c r="B111" s="9"/>
      <c r="C111" s="9"/>
      <c r="D111" s="17">
        <v>45384.0</v>
      </c>
      <c r="E111" s="18" t="s">
        <v>14</v>
      </c>
      <c r="F111" s="18" t="s">
        <v>128</v>
      </c>
      <c r="G111" s="19">
        <v>50000.0</v>
      </c>
      <c r="I111" s="16"/>
    </row>
    <row r="112">
      <c r="B112" s="9"/>
      <c r="C112" s="9"/>
      <c r="D112" s="32">
        <v>45389.0</v>
      </c>
      <c r="E112" s="33" t="s">
        <v>9</v>
      </c>
      <c r="F112" s="33" t="s">
        <v>129</v>
      </c>
      <c r="G112" s="34">
        <v>4000.0</v>
      </c>
      <c r="I112" s="16"/>
    </row>
    <row r="113">
      <c r="B113" s="9"/>
      <c r="C113" s="9"/>
      <c r="D113" s="32">
        <v>45395.0</v>
      </c>
      <c r="E113" s="33" t="s">
        <v>9</v>
      </c>
      <c r="F113" s="33" t="s">
        <v>130</v>
      </c>
      <c r="G113" s="34">
        <v>1600.0</v>
      </c>
      <c r="I113" s="16"/>
    </row>
    <row r="114">
      <c r="B114" s="9"/>
      <c r="C114" s="9"/>
      <c r="D114" s="32">
        <v>45397.0</v>
      </c>
      <c r="E114" s="33" t="s">
        <v>9</v>
      </c>
      <c r="F114" s="33" t="s">
        <v>131</v>
      </c>
      <c r="G114" s="34">
        <v>1100.0</v>
      </c>
      <c r="I114" s="16"/>
    </row>
    <row r="115">
      <c r="B115" s="9"/>
      <c r="C115" s="9"/>
      <c r="D115" s="32">
        <v>45403.0</v>
      </c>
      <c r="E115" s="33" t="s">
        <v>9</v>
      </c>
      <c r="F115" s="33" t="s">
        <v>132</v>
      </c>
      <c r="G115" s="34">
        <v>4000.0</v>
      </c>
      <c r="I115" s="16"/>
    </row>
    <row r="116">
      <c r="B116" s="9"/>
      <c r="C116" s="9"/>
      <c r="D116" s="32">
        <v>45414.0</v>
      </c>
      <c r="E116" s="33" t="s">
        <v>9</v>
      </c>
      <c r="F116" s="33" t="s">
        <v>133</v>
      </c>
      <c r="G116" s="34">
        <v>10000.0</v>
      </c>
      <c r="I116" s="16"/>
    </row>
    <row r="117">
      <c r="B117" s="9"/>
      <c r="C117" s="9"/>
      <c r="D117" s="32">
        <v>45423.0</v>
      </c>
      <c r="E117" s="33" t="s">
        <v>9</v>
      </c>
      <c r="F117" s="33" t="s">
        <v>134</v>
      </c>
      <c r="G117" s="34">
        <v>2600.0</v>
      </c>
      <c r="I117" s="16"/>
    </row>
    <row r="118">
      <c r="B118" s="9"/>
      <c r="C118" s="9"/>
      <c r="D118" s="32">
        <v>45427.0</v>
      </c>
      <c r="E118" s="33" t="s">
        <v>9</v>
      </c>
      <c r="F118" s="33" t="s">
        <v>135</v>
      </c>
      <c r="G118" s="34">
        <v>36000.0</v>
      </c>
      <c r="I118" s="16"/>
    </row>
    <row r="119">
      <c r="B119" s="9"/>
      <c r="C119" s="9"/>
      <c r="D119" s="32">
        <v>45431.0</v>
      </c>
      <c r="E119" s="33" t="s">
        <v>9</v>
      </c>
      <c r="F119" s="33" t="s">
        <v>136</v>
      </c>
      <c r="G119" s="34">
        <v>9827.0</v>
      </c>
      <c r="I119" s="16"/>
    </row>
    <row r="120">
      <c r="B120" s="9"/>
      <c r="C120" s="9"/>
      <c r="D120" s="32">
        <v>45432.0</v>
      </c>
      <c r="E120" s="33" t="s">
        <v>9</v>
      </c>
      <c r="F120" s="33" t="s">
        <v>137</v>
      </c>
      <c r="G120" s="34">
        <v>400.0</v>
      </c>
      <c r="I120" s="16"/>
    </row>
    <row r="121">
      <c r="B121" s="9"/>
      <c r="C121" s="9"/>
      <c r="D121" s="32">
        <v>45433.0</v>
      </c>
      <c r="E121" s="33" t="s">
        <v>9</v>
      </c>
      <c r="F121" s="33" t="s">
        <v>138</v>
      </c>
      <c r="G121" s="34">
        <v>37980.0</v>
      </c>
      <c r="I121" s="16"/>
    </row>
    <row r="122">
      <c r="B122" s="9"/>
      <c r="C122" s="23"/>
      <c r="D122" s="58">
        <v>45434.0</v>
      </c>
      <c r="E122" s="37" t="s">
        <v>9</v>
      </c>
      <c r="F122" s="37" t="s">
        <v>139</v>
      </c>
      <c r="G122" s="38">
        <v>1612.0</v>
      </c>
      <c r="H122" s="7">
        <f>SUM(G105:G122)</f>
        <v>217119</v>
      </c>
      <c r="I122" s="8"/>
    </row>
    <row r="123">
      <c r="B123" s="9"/>
      <c r="C123" s="47" t="s">
        <v>140</v>
      </c>
      <c r="D123" s="48">
        <v>45321.0</v>
      </c>
      <c r="E123" s="49" t="s">
        <v>103</v>
      </c>
      <c r="F123" s="49" t="s">
        <v>141</v>
      </c>
      <c r="G123" s="50">
        <v>15000.0</v>
      </c>
      <c r="I123" s="16"/>
    </row>
    <row r="124">
      <c r="B124" s="9"/>
      <c r="C124" s="9"/>
      <c r="D124" s="51">
        <v>45325.0</v>
      </c>
      <c r="E124" s="52" t="s">
        <v>103</v>
      </c>
      <c r="F124" s="52" t="s">
        <v>142</v>
      </c>
      <c r="G124" s="53">
        <v>16000.0</v>
      </c>
      <c r="I124" s="16"/>
    </row>
    <row r="125">
      <c r="B125" s="9"/>
      <c r="C125" s="9"/>
      <c r="D125" s="51">
        <v>45327.0</v>
      </c>
      <c r="E125" s="52" t="s">
        <v>103</v>
      </c>
      <c r="F125" s="52" t="s">
        <v>143</v>
      </c>
      <c r="G125" s="53">
        <v>5400.0</v>
      </c>
      <c r="I125" s="16"/>
    </row>
    <row r="126">
      <c r="B126" s="9"/>
      <c r="C126" s="9"/>
      <c r="D126" s="51">
        <v>45327.0</v>
      </c>
      <c r="E126" s="52" t="s">
        <v>103</v>
      </c>
      <c r="F126" s="52" t="s">
        <v>111</v>
      </c>
      <c r="G126" s="53">
        <v>10000.0</v>
      </c>
      <c r="I126" s="16"/>
    </row>
    <row r="127">
      <c r="B127" s="9"/>
      <c r="C127" s="9"/>
      <c r="D127" s="51">
        <v>45331.0</v>
      </c>
      <c r="E127" s="52" t="s">
        <v>103</v>
      </c>
      <c r="F127" s="52" t="s">
        <v>144</v>
      </c>
      <c r="G127" s="53">
        <v>10000.0</v>
      </c>
      <c r="I127" s="16"/>
    </row>
    <row r="128">
      <c r="B128" s="9"/>
      <c r="C128" s="9"/>
      <c r="D128" s="51">
        <v>45335.0</v>
      </c>
      <c r="E128" s="52" t="s">
        <v>103</v>
      </c>
      <c r="F128" s="52" t="s">
        <v>145</v>
      </c>
      <c r="G128" s="53">
        <v>4700.0</v>
      </c>
      <c r="I128" s="16"/>
    </row>
    <row r="129">
      <c r="B129" s="9"/>
      <c r="C129" s="9"/>
      <c r="D129" s="51">
        <v>45349.0</v>
      </c>
      <c r="E129" s="52" t="s">
        <v>103</v>
      </c>
      <c r="F129" s="52" t="s">
        <v>146</v>
      </c>
      <c r="G129" s="53">
        <v>5000.0</v>
      </c>
      <c r="I129" s="16"/>
    </row>
    <row r="130">
      <c r="B130" s="9"/>
      <c r="C130" s="9"/>
      <c r="D130" s="51">
        <v>45352.0</v>
      </c>
      <c r="E130" s="52" t="s">
        <v>103</v>
      </c>
      <c r="F130" s="52" t="s">
        <v>133</v>
      </c>
      <c r="G130" s="53">
        <v>10000.0</v>
      </c>
      <c r="I130" s="16"/>
    </row>
    <row r="131">
      <c r="B131" s="9"/>
      <c r="C131" s="9"/>
      <c r="D131" s="51">
        <v>45353.0</v>
      </c>
      <c r="E131" s="52" t="s">
        <v>103</v>
      </c>
      <c r="F131" s="52" t="s">
        <v>147</v>
      </c>
      <c r="G131" s="53">
        <v>41324.0</v>
      </c>
      <c r="I131" s="16"/>
    </row>
    <row r="132">
      <c r="B132" s="9"/>
      <c r="C132" s="23"/>
      <c r="D132" s="57">
        <v>45331.0</v>
      </c>
      <c r="E132" s="45" t="s">
        <v>14</v>
      </c>
      <c r="F132" s="45" t="s">
        <v>148</v>
      </c>
      <c r="G132" s="46">
        <v>100000.0</v>
      </c>
      <c r="H132" s="7">
        <f>SUM(G123:G132)</f>
        <v>217424</v>
      </c>
      <c r="I132" s="8"/>
    </row>
    <row r="133">
      <c r="B133" s="9"/>
      <c r="C133" s="28" t="s">
        <v>149</v>
      </c>
      <c r="D133" s="29">
        <v>45313.0</v>
      </c>
      <c r="E133" s="30" t="s">
        <v>103</v>
      </c>
      <c r="F133" s="30" t="s">
        <v>150</v>
      </c>
      <c r="G133" s="31">
        <v>2000.0</v>
      </c>
      <c r="I133" s="16"/>
    </row>
    <row r="134">
      <c r="B134" s="9"/>
      <c r="C134" s="9"/>
      <c r="D134" s="32">
        <v>45313.0</v>
      </c>
      <c r="E134" s="33" t="s">
        <v>103</v>
      </c>
      <c r="F134" s="33" t="s">
        <v>150</v>
      </c>
      <c r="G134" s="34">
        <v>10000.0</v>
      </c>
      <c r="I134" s="16"/>
    </row>
    <row r="135">
      <c r="B135" s="9"/>
      <c r="C135" s="9"/>
      <c r="D135" s="32">
        <v>45316.0</v>
      </c>
      <c r="E135" s="33" t="s">
        <v>103</v>
      </c>
      <c r="F135" s="33" t="s">
        <v>151</v>
      </c>
      <c r="G135" s="34">
        <v>49000.0</v>
      </c>
      <c r="I135" s="16"/>
    </row>
    <row r="136">
      <c r="B136" s="9"/>
      <c r="C136" s="9"/>
      <c r="D136" s="32">
        <v>45317.0</v>
      </c>
      <c r="E136" s="33" t="s">
        <v>103</v>
      </c>
      <c r="F136" s="33" t="s">
        <v>103</v>
      </c>
      <c r="G136" s="34">
        <v>5000.0</v>
      </c>
      <c r="I136" s="16"/>
    </row>
    <row r="137">
      <c r="B137" s="9"/>
      <c r="C137" s="23"/>
      <c r="D137" s="58">
        <v>45318.0</v>
      </c>
      <c r="E137" s="37" t="s">
        <v>103</v>
      </c>
      <c r="F137" s="37" t="s">
        <v>152</v>
      </c>
      <c r="G137" s="38">
        <v>6000.0</v>
      </c>
      <c r="H137" s="7">
        <f>sum(G133:G137)</f>
        <v>72000</v>
      </c>
      <c r="I137" s="8"/>
    </row>
    <row r="138">
      <c r="B138" s="59"/>
      <c r="C138" s="47" t="s">
        <v>153</v>
      </c>
      <c r="D138" s="60">
        <v>45279.0</v>
      </c>
      <c r="E138" s="52" t="s">
        <v>103</v>
      </c>
      <c r="F138" s="49" t="s">
        <v>154</v>
      </c>
      <c r="G138" s="50">
        <v>60000.0</v>
      </c>
      <c r="I138" s="16"/>
    </row>
    <row r="139">
      <c r="B139" s="59"/>
      <c r="C139" s="9"/>
      <c r="D139" s="51">
        <v>45293.0</v>
      </c>
      <c r="E139" s="52" t="s">
        <v>103</v>
      </c>
      <c r="F139" s="52" t="s">
        <v>155</v>
      </c>
      <c r="G139" s="53">
        <v>100000.0</v>
      </c>
      <c r="I139" s="16"/>
    </row>
    <row r="140">
      <c r="B140" s="59"/>
      <c r="C140" s="23"/>
      <c r="D140" s="54">
        <v>45293.0</v>
      </c>
      <c r="E140" s="52" t="s">
        <v>103</v>
      </c>
      <c r="F140" s="55" t="s">
        <v>111</v>
      </c>
      <c r="G140" s="56">
        <v>10000.0</v>
      </c>
      <c r="H140" s="7">
        <f>SUM(G138:G140)</f>
        <v>170000</v>
      </c>
      <c r="I140" s="8"/>
    </row>
    <row r="141">
      <c r="B141" s="61" t="s">
        <v>156</v>
      </c>
      <c r="C141" s="62" t="s">
        <v>157</v>
      </c>
      <c r="D141" s="63">
        <v>45247.0</v>
      </c>
      <c r="E141" s="30" t="s">
        <v>158</v>
      </c>
      <c r="F141" s="30" t="s">
        <v>159</v>
      </c>
      <c r="G141" s="31">
        <v>5000.0</v>
      </c>
      <c r="I141" s="16"/>
    </row>
    <row r="142">
      <c r="B142" s="9"/>
      <c r="C142" s="23"/>
      <c r="D142" s="36">
        <v>45248.0</v>
      </c>
      <c r="E142" s="30" t="s">
        <v>158</v>
      </c>
      <c r="F142" s="37" t="s">
        <v>160</v>
      </c>
      <c r="G142" s="38">
        <v>5000.0</v>
      </c>
      <c r="H142" s="7">
        <f>SUM(G141:G142)</f>
        <v>10000</v>
      </c>
      <c r="I142" s="8"/>
    </row>
    <row r="143">
      <c r="B143" s="9"/>
      <c r="C143" s="64" t="s">
        <v>161</v>
      </c>
      <c r="D143" s="60">
        <v>45230.0</v>
      </c>
      <c r="E143" s="52" t="s">
        <v>103</v>
      </c>
      <c r="F143" s="49" t="s">
        <v>162</v>
      </c>
      <c r="G143" s="50">
        <v>5000.0</v>
      </c>
      <c r="I143" s="16"/>
    </row>
    <row r="144">
      <c r="B144" s="9"/>
      <c r="C144" s="23"/>
      <c r="D144" s="54">
        <v>45233.0</v>
      </c>
      <c r="E144" s="52" t="s">
        <v>103</v>
      </c>
      <c r="F144" s="55" t="s">
        <v>163</v>
      </c>
      <c r="G144" s="56">
        <v>4000.0</v>
      </c>
      <c r="H144" s="7">
        <f>SUM(G143:G144)</f>
        <v>9000</v>
      </c>
      <c r="I144" s="8"/>
    </row>
    <row r="145">
      <c r="B145" s="9"/>
      <c r="C145" s="47" t="s">
        <v>164</v>
      </c>
      <c r="D145" s="65">
        <v>45202.0</v>
      </c>
      <c r="E145" s="66" t="s">
        <v>158</v>
      </c>
      <c r="F145" s="66" t="s">
        <v>165</v>
      </c>
      <c r="G145" s="67">
        <v>15000.0</v>
      </c>
      <c r="I145" s="16"/>
    </row>
    <row r="146">
      <c r="B146" s="9"/>
      <c r="C146" s="9"/>
      <c r="D146" s="68">
        <v>45202.0</v>
      </c>
      <c r="E146" s="66" t="s">
        <v>158</v>
      </c>
      <c r="F146" s="69" t="s">
        <v>166</v>
      </c>
      <c r="G146" s="70">
        <v>10000.0</v>
      </c>
      <c r="I146" s="16"/>
    </row>
    <row r="147">
      <c r="B147" s="9"/>
      <c r="C147" s="9"/>
      <c r="D147" s="68">
        <v>45203.0</v>
      </c>
      <c r="E147" s="66" t="s">
        <v>158</v>
      </c>
      <c r="F147" s="69" t="s">
        <v>167</v>
      </c>
      <c r="G147" s="70">
        <v>10000.0</v>
      </c>
      <c r="I147" s="16"/>
    </row>
    <row r="148">
      <c r="B148" s="9"/>
      <c r="C148" s="9"/>
      <c r="D148" s="68">
        <v>45203.0</v>
      </c>
      <c r="E148" s="66" t="s">
        <v>158</v>
      </c>
      <c r="F148" s="69" t="s">
        <v>168</v>
      </c>
      <c r="G148" s="70">
        <v>100000.0</v>
      </c>
      <c r="I148" s="16"/>
    </row>
    <row r="149">
      <c r="B149" s="9"/>
      <c r="C149" s="9"/>
      <c r="D149" s="68">
        <v>45204.0</v>
      </c>
      <c r="E149" s="66" t="s">
        <v>158</v>
      </c>
      <c r="F149" s="69" t="s">
        <v>169</v>
      </c>
      <c r="G149" s="70">
        <v>25000.0</v>
      </c>
      <c r="I149" s="16"/>
    </row>
    <row r="150">
      <c r="B150" s="9"/>
      <c r="C150" s="9"/>
      <c r="D150" s="68">
        <v>45204.0</v>
      </c>
      <c r="E150" s="66" t="s">
        <v>158</v>
      </c>
      <c r="F150" s="69" t="s">
        <v>159</v>
      </c>
      <c r="G150" s="70">
        <v>5000.0</v>
      </c>
      <c r="I150" s="16"/>
    </row>
    <row r="151">
      <c r="B151" s="9"/>
      <c r="C151" s="9"/>
      <c r="D151" s="68">
        <v>45208.0</v>
      </c>
      <c r="E151" s="66" t="s">
        <v>158</v>
      </c>
      <c r="F151" s="69" t="s">
        <v>159</v>
      </c>
      <c r="G151" s="70">
        <v>5000.0</v>
      </c>
      <c r="I151" s="16"/>
    </row>
    <row r="152">
      <c r="B152" s="9"/>
      <c r="C152" s="9"/>
      <c r="D152" s="71">
        <v>45212.0</v>
      </c>
      <c r="E152" s="66" t="s">
        <v>158</v>
      </c>
      <c r="F152" s="69" t="s">
        <v>159</v>
      </c>
      <c r="G152" s="70">
        <v>5000.0</v>
      </c>
      <c r="I152" s="16"/>
    </row>
    <row r="153">
      <c r="B153" s="9"/>
      <c r="C153" s="9"/>
      <c r="D153" s="71">
        <v>45212.0</v>
      </c>
      <c r="E153" s="66" t="s">
        <v>158</v>
      </c>
      <c r="F153" s="69" t="s">
        <v>166</v>
      </c>
      <c r="G153" s="70">
        <v>20000.0</v>
      </c>
      <c r="I153" s="16"/>
    </row>
    <row r="154">
      <c r="B154" s="9"/>
      <c r="C154" s="9"/>
      <c r="D154" s="71">
        <v>45215.0</v>
      </c>
      <c r="E154" s="66" t="s">
        <v>158</v>
      </c>
      <c r="F154" s="69" t="s">
        <v>170</v>
      </c>
      <c r="G154" s="70">
        <v>5000.0</v>
      </c>
      <c r="I154" s="16"/>
    </row>
    <row r="155">
      <c r="B155" s="9"/>
      <c r="C155" s="9"/>
      <c r="D155" s="71">
        <v>45215.0</v>
      </c>
      <c r="E155" s="66" t="s">
        <v>158</v>
      </c>
      <c r="F155" s="69" t="s">
        <v>159</v>
      </c>
      <c r="G155" s="70">
        <v>5000.0</v>
      </c>
      <c r="I155" s="16"/>
    </row>
    <row r="156">
      <c r="B156" s="9"/>
      <c r="C156" s="9"/>
      <c r="D156" s="71">
        <v>45217.0</v>
      </c>
      <c r="E156" s="66" t="s">
        <v>158</v>
      </c>
      <c r="F156" s="69" t="s">
        <v>171</v>
      </c>
      <c r="G156" s="70">
        <v>30000.0</v>
      </c>
      <c r="I156" s="16"/>
    </row>
    <row r="157">
      <c r="B157" s="9"/>
      <c r="C157" s="23"/>
      <c r="D157" s="72">
        <v>45217.0</v>
      </c>
      <c r="E157" s="66" t="s">
        <v>158</v>
      </c>
      <c r="F157" s="73" t="s">
        <v>172</v>
      </c>
      <c r="G157" s="74">
        <v>30000.0</v>
      </c>
      <c r="H157" s="7">
        <f>SUM(G145:G157)</f>
        <v>265000</v>
      </c>
      <c r="I157" s="8"/>
    </row>
    <row r="158">
      <c r="B158" s="9"/>
      <c r="C158" s="28" t="s">
        <v>173</v>
      </c>
      <c r="D158" s="63">
        <v>45247.0</v>
      </c>
      <c r="E158" s="30" t="s">
        <v>103</v>
      </c>
      <c r="F158" s="75"/>
      <c r="G158" s="31">
        <v>10500.0</v>
      </c>
      <c r="I158" s="16"/>
    </row>
    <row r="159">
      <c r="B159" s="9"/>
      <c r="C159" s="9"/>
      <c r="D159" s="35">
        <v>45251.0</v>
      </c>
      <c r="E159" s="33" t="s">
        <v>103</v>
      </c>
      <c r="F159" s="76"/>
      <c r="G159" s="34">
        <v>10000.0</v>
      </c>
      <c r="I159" s="16"/>
    </row>
    <row r="160">
      <c r="B160" s="9"/>
      <c r="C160" s="9"/>
      <c r="D160" s="35">
        <v>45249.0</v>
      </c>
      <c r="E160" s="33" t="s">
        <v>103</v>
      </c>
      <c r="F160" s="76"/>
      <c r="G160" s="34">
        <v>5000.0</v>
      </c>
      <c r="I160" s="16"/>
    </row>
    <row r="161">
      <c r="B161" s="9"/>
      <c r="C161" s="9"/>
      <c r="D161" s="32">
        <v>45261.0</v>
      </c>
      <c r="E161" s="33" t="s">
        <v>103</v>
      </c>
      <c r="F161" s="33" t="s">
        <v>174</v>
      </c>
      <c r="G161" s="34">
        <v>14000.0</v>
      </c>
      <c r="I161" s="16"/>
    </row>
    <row r="162">
      <c r="B162" s="9"/>
      <c r="C162" s="23"/>
      <c r="D162" s="36">
        <v>45271.0</v>
      </c>
      <c r="E162" s="33" t="s">
        <v>103</v>
      </c>
      <c r="F162" s="37" t="s">
        <v>175</v>
      </c>
      <c r="G162" s="38">
        <v>48610.0</v>
      </c>
      <c r="H162" s="7">
        <f>SUM(G158:G162)</f>
        <v>88110</v>
      </c>
      <c r="I162" s="8"/>
    </row>
    <row r="163">
      <c r="B163" s="9"/>
      <c r="C163" s="64" t="s">
        <v>176</v>
      </c>
      <c r="D163" s="48">
        <v>45200.0</v>
      </c>
      <c r="E163" s="55" t="s">
        <v>103</v>
      </c>
      <c r="F163" s="49" t="s">
        <v>177</v>
      </c>
      <c r="G163" s="50">
        <v>20000.0</v>
      </c>
      <c r="I163" s="16"/>
    </row>
    <row r="164">
      <c r="B164" s="9"/>
      <c r="C164" s="23"/>
      <c r="D164" s="54">
        <v>45231.0</v>
      </c>
      <c r="E164" s="55" t="s">
        <v>103</v>
      </c>
      <c r="F164" s="77"/>
      <c r="G164" s="56">
        <v>25000.0</v>
      </c>
      <c r="H164" s="7">
        <f>SUM(G163:G164)</f>
        <v>45000</v>
      </c>
      <c r="I164" s="8"/>
    </row>
    <row r="165">
      <c r="B165" s="9"/>
      <c r="C165" s="78"/>
      <c r="D165" s="79">
        <v>45153.0</v>
      </c>
      <c r="E165" s="80"/>
      <c r="F165" s="81" t="s">
        <v>155</v>
      </c>
      <c r="G165" s="82">
        <v>100000.0</v>
      </c>
      <c r="H165" s="83">
        <v>100000.0</v>
      </c>
      <c r="I165" s="8"/>
    </row>
    <row r="166">
      <c r="B166" s="9"/>
      <c r="C166" s="84"/>
      <c r="D166" s="85">
        <v>45154.0</v>
      </c>
      <c r="E166" s="86"/>
      <c r="F166" s="87" t="s">
        <v>178</v>
      </c>
      <c r="G166" s="88">
        <v>50000.0</v>
      </c>
      <c r="H166" s="83">
        <v>50000.0</v>
      </c>
      <c r="I166" s="89">
        <v>45174.0</v>
      </c>
    </row>
    <row r="167">
      <c r="B167" s="9"/>
      <c r="C167" s="78"/>
      <c r="D167" s="79">
        <v>45175.0</v>
      </c>
      <c r="E167" s="80"/>
      <c r="F167" s="81" t="s">
        <v>179</v>
      </c>
      <c r="G167" s="82">
        <v>49865.0</v>
      </c>
      <c r="H167" s="83">
        <v>49865.0</v>
      </c>
      <c r="I167" s="8"/>
    </row>
    <row r="168">
      <c r="B168" s="9"/>
      <c r="C168" s="84"/>
      <c r="D168" s="85">
        <v>45208.0</v>
      </c>
      <c r="E168" s="86"/>
      <c r="F168" s="87" t="s">
        <v>180</v>
      </c>
      <c r="G168" s="88">
        <v>42000.0</v>
      </c>
      <c r="H168" s="83">
        <v>42000.0</v>
      </c>
      <c r="I168" s="89">
        <v>45208.0</v>
      </c>
    </row>
    <row r="169">
      <c r="B169" s="9"/>
      <c r="C169" s="78"/>
      <c r="D169" s="90">
        <v>45241.0</v>
      </c>
      <c r="E169" s="80"/>
      <c r="F169" s="81" t="s">
        <v>155</v>
      </c>
      <c r="G169" s="82">
        <v>100000.0</v>
      </c>
      <c r="H169" s="83">
        <v>100000.0</v>
      </c>
      <c r="I169" s="8"/>
    </row>
    <row r="170">
      <c r="B170" s="9"/>
      <c r="C170" s="47" t="s">
        <v>181</v>
      </c>
      <c r="D170" s="48">
        <v>45100.0</v>
      </c>
      <c r="E170" s="49" t="s">
        <v>103</v>
      </c>
      <c r="F170" s="91"/>
      <c r="G170" s="50">
        <v>20000.0</v>
      </c>
      <c r="I170" s="16"/>
    </row>
    <row r="171">
      <c r="B171" s="9"/>
      <c r="C171" s="9"/>
      <c r="D171" s="51">
        <v>45107.0</v>
      </c>
      <c r="E171" s="52" t="s">
        <v>103</v>
      </c>
      <c r="G171" s="53">
        <v>40000.0</v>
      </c>
      <c r="I171" s="16"/>
    </row>
    <row r="172">
      <c r="B172" s="9"/>
      <c r="C172" s="9"/>
      <c r="D172" s="51">
        <v>45139.0</v>
      </c>
      <c r="E172" s="52" t="s">
        <v>103</v>
      </c>
      <c r="G172" s="53">
        <v>10000.0</v>
      </c>
      <c r="I172" s="16"/>
    </row>
    <row r="173">
      <c r="B173" s="9"/>
      <c r="C173" s="9"/>
      <c r="D173" s="51">
        <v>45145.0</v>
      </c>
      <c r="E173" s="52" t="s">
        <v>103</v>
      </c>
      <c r="G173" s="53">
        <v>50000.0</v>
      </c>
      <c r="I173" s="16"/>
    </row>
    <row r="174">
      <c r="B174" s="9"/>
      <c r="C174" s="23"/>
      <c r="D174" s="54">
        <v>45146.0</v>
      </c>
      <c r="E174" s="55" t="s">
        <v>103</v>
      </c>
      <c r="F174" s="77"/>
      <c r="G174" s="56">
        <v>10000.0</v>
      </c>
      <c r="H174" s="7">
        <f>SUM(G170:G174)</f>
        <v>130000</v>
      </c>
      <c r="I174" s="8"/>
    </row>
    <row r="175">
      <c r="B175" s="9"/>
      <c r="C175" s="28" t="s">
        <v>182</v>
      </c>
      <c r="D175" s="29">
        <v>45146.0</v>
      </c>
      <c r="E175" s="30" t="s">
        <v>158</v>
      </c>
      <c r="F175" s="75"/>
      <c r="G175" s="31">
        <v>10000.0</v>
      </c>
      <c r="I175" s="16"/>
    </row>
    <row r="176">
      <c r="B176" s="9"/>
      <c r="C176" s="9"/>
      <c r="D176" s="32">
        <v>45147.0</v>
      </c>
      <c r="E176" s="33" t="s">
        <v>158</v>
      </c>
      <c r="F176" s="76"/>
      <c r="G176" s="34">
        <v>15000.0</v>
      </c>
      <c r="I176" s="16"/>
    </row>
    <row r="177">
      <c r="B177" s="9"/>
      <c r="C177" s="9"/>
      <c r="D177" s="32">
        <v>45150.0</v>
      </c>
      <c r="E177" s="33" t="s">
        <v>158</v>
      </c>
      <c r="F177" s="76"/>
      <c r="G177" s="34">
        <v>25000.0</v>
      </c>
      <c r="I177" s="16"/>
    </row>
    <row r="178">
      <c r="B178" s="9"/>
      <c r="C178" s="9"/>
      <c r="D178" s="32">
        <v>45152.0</v>
      </c>
      <c r="E178" s="33" t="s">
        <v>158</v>
      </c>
      <c r="F178" s="76"/>
      <c r="G178" s="34">
        <v>25000.0</v>
      </c>
      <c r="I178" s="16"/>
    </row>
    <row r="179">
      <c r="B179" s="9"/>
      <c r="C179" s="9"/>
      <c r="D179" s="32">
        <v>45154.0</v>
      </c>
      <c r="E179" s="33" t="s">
        <v>158</v>
      </c>
      <c r="F179" s="76"/>
      <c r="G179" s="34">
        <v>5000.0</v>
      </c>
      <c r="I179" s="16"/>
    </row>
    <row r="180">
      <c r="B180" s="9"/>
      <c r="C180" s="9"/>
      <c r="D180" s="32">
        <v>45156.0</v>
      </c>
      <c r="E180" s="33" t="s">
        <v>158</v>
      </c>
      <c r="F180" s="76"/>
      <c r="G180" s="34">
        <v>5000.0</v>
      </c>
      <c r="I180" s="16"/>
    </row>
    <row r="181">
      <c r="B181" s="9"/>
      <c r="C181" s="9"/>
      <c r="D181" s="32">
        <v>45159.0</v>
      </c>
      <c r="E181" s="33" t="s">
        <v>158</v>
      </c>
      <c r="F181" s="76"/>
      <c r="G181" s="34">
        <v>50000.0</v>
      </c>
      <c r="I181" s="16"/>
    </row>
    <row r="182">
      <c r="B182" s="9"/>
      <c r="C182" s="9"/>
      <c r="D182" s="32">
        <v>45161.0</v>
      </c>
      <c r="E182" s="33" t="s">
        <v>158</v>
      </c>
      <c r="F182" s="76"/>
      <c r="G182" s="34">
        <v>10000.0</v>
      </c>
      <c r="I182" s="16"/>
    </row>
    <row r="183">
      <c r="B183" s="9"/>
      <c r="C183" s="9"/>
      <c r="D183" s="32">
        <v>45171.0</v>
      </c>
      <c r="E183" s="33" t="s">
        <v>158</v>
      </c>
      <c r="F183" s="76"/>
      <c r="G183" s="34">
        <v>10000.0</v>
      </c>
      <c r="I183" s="16"/>
    </row>
    <row r="184">
      <c r="B184" s="9"/>
      <c r="C184" s="23"/>
      <c r="D184" s="58">
        <v>45174.0</v>
      </c>
      <c r="E184" s="37" t="s">
        <v>158</v>
      </c>
      <c r="F184" s="37" t="s">
        <v>183</v>
      </c>
      <c r="G184" s="38">
        <v>30000.0</v>
      </c>
      <c r="H184" s="7">
        <f>SUM(G175:G184)</f>
        <v>185000</v>
      </c>
      <c r="I184" s="89">
        <v>45184.0</v>
      </c>
    </row>
    <row r="185">
      <c r="B185" s="9"/>
      <c r="C185" s="84"/>
      <c r="D185" s="85">
        <v>45184.0</v>
      </c>
      <c r="E185" s="86"/>
      <c r="F185" s="87" t="s">
        <v>155</v>
      </c>
      <c r="G185" s="88">
        <v>100000.0</v>
      </c>
      <c r="H185" s="83">
        <v>100000.0</v>
      </c>
      <c r="I185" s="8"/>
    </row>
    <row r="186">
      <c r="B186" s="9"/>
      <c r="C186" s="84"/>
      <c r="D186" s="85">
        <v>45185.0</v>
      </c>
      <c r="E186" s="86"/>
      <c r="F186" s="87" t="s">
        <v>184</v>
      </c>
      <c r="G186" s="88">
        <v>95708.0</v>
      </c>
      <c r="H186" s="83">
        <v>95708.0</v>
      </c>
      <c r="I186" s="89">
        <v>45186.0</v>
      </c>
    </row>
    <row r="187">
      <c r="B187" s="9"/>
      <c r="C187" s="84"/>
      <c r="D187" s="85">
        <v>45199.0</v>
      </c>
      <c r="E187" s="86"/>
      <c r="F187" s="87" t="s">
        <v>185</v>
      </c>
      <c r="G187" s="88">
        <v>23296.0</v>
      </c>
      <c r="H187" s="83">
        <v>23296.0</v>
      </c>
      <c r="I187" s="89">
        <v>45199.0</v>
      </c>
    </row>
    <row r="188">
      <c r="B188" s="9"/>
      <c r="C188" s="47" t="s">
        <v>186</v>
      </c>
      <c r="D188" s="29">
        <v>45177.0</v>
      </c>
      <c r="E188" s="30" t="s">
        <v>158</v>
      </c>
      <c r="F188" s="30" t="s">
        <v>187</v>
      </c>
      <c r="G188" s="31">
        <v>25000.0</v>
      </c>
      <c r="I188" s="16"/>
    </row>
    <row r="189">
      <c r="B189" s="9"/>
      <c r="C189" s="9"/>
      <c r="D189" s="32">
        <v>45178.0</v>
      </c>
      <c r="E189" s="33" t="s">
        <v>158</v>
      </c>
      <c r="F189" s="33" t="s">
        <v>187</v>
      </c>
      <c r="G189" s="34">
        <v>10000.0</v>
      </c>
      <c r="I189" s="16"/>
    </row>
    <row r="190">
      <c r="B190" s="9"/>
      <c r="C190" s="9"/>
      <c r="D190" s="32">
        <v>45185.0</v>
      </c>
      <c r="E190" s="33" t="s">
        <v>158</v>
      </c>
      <c r="F190" s="33" t="s">
        <v>188</v>
      </c>
      <c r="G190" s="34">
        <v>50000.0</v>
      </c>
      <c r="I190" s="16"/>
    </row>
    <row r="191">
      <c r="B191" s="9"/>
      <c r="C191" s="9"/>
      <c r="D191" s="32">
        <v>45186.0</v>
      </c>
      <c r="E191" s="33" t="s">
        <v>158</v>
      </c>
      <c r="F191" s="33" t="s">
        <v>189</v>
      </c>
      <c r="G191" s="34">
        <v>10000.0</v>
      </c>
      <c r="I191" s="16"/>
    </row>
    <row r="192">
      <c r="B192" s="9"/>
      <c r="C192" s="9"/>
      <c r="D192" s="32">
        <v>45187.0</v>
      </c>
      <c r="E192" s="33" t="s">
        <v>158</v>
      </c>
      <c r="F192" s="33" t="s">
        <v>190</v>
      </c>
      <c r="G192" s="34">
        <v>20000.0</v>
      </c>
      <c r="I192" s="16"/>
    </row>
    <row r="193">
      <c r="B193" s="9"/>
      <c r="C193" s="9"/>
      <c r="D193" s="32">
        <v>45193.0</v>
      </c>
      <c r="E193" s="33" t="s">
        <v>158</v>
      </c>
      <c r="F193" s="33" t="s">
        <v>187</v>
      </c>
      <c r="G193" s="34">
        <v>10000.0</v>
      </c>
      <c r="I193" s="16"/>
    </row>
    <row r="194">
      <c r="B194" s="9"/>
      <c r="C194" s="9"/>
      <c r="D194" s="32">
        <v>45195.0</v>
      </c>
      <c r="E194" s="33" t="s">
        <v>158</v>
      </c>
      <c r="F194" s="33" t="s">
        <v>187</v>
      </c>
      <c r="G194" s="34">
        <v>10000.0</v>
      </c>
      <c r="I194" s="16"/>
    </row>
    <row r="195">
      <c r="B195" s="9"/>
      <c r="C195" s="23"/>
      <c r="D195" s="58">
        <v>45195.0</v>
      </c>
      <c r="E195" s="37" t="s">
        <v>158</v>
      </c>
      <c r="F195" s="37" t="s">
        <v>191</v>
      </c>
      <c r="G195" s="38">
        <v>25000.0</v>
      </c>
      <c r="H195" s="7">
        <f>sum(G188:G195)</f>
        <v>160000</v>
      </c>
      <c r="I195" s="89">
        <v>45199.0</v>
      </c>
    </row>
    <row r="196">
      <c r="B196" s="9"/>
      <c r="C196" s="47" t="s">
        <v>192</v>
      </c>
      <c r="D196" s="48">
        <v>45173.0</v>
      </c>
      <c r="E196" s="49" t="s">
        <v>103</v>
      </c>
      <c r="F196" s="49" t="s">
        <v>193</v>
      </c>
      <c r="G196" s="50">
        <v>10000.0</v>
      </c>
      <c r="H196" s="91"/>
      <c r="I196" s="92"/>
    </row>
    <row r="197">
      <c r="B197" s="9"/>
      <c r="C197" s="9"/>
      <c r="D197" s="51">
        <v>45199.0</v>
      </c>
      <c r="E197" s="52" t="s">
        <v>103</v>
      </c>
      <c r="F197" s="52" t="s">
        <v>193</v>
      </c>
      <c r="G197" s="53">
        <v>5000.0</v>
      </c>
      <c r="I197" s="16"/>
    </row>
    <row r="198">
      <c r="B198" s="23"/>
      <c r="C198" s="23"/>
      <c r="D198" s="54">
        <v>45199.0</v>
      </c>
      <c r="E198" s="55" t="s">
        <v>103</v>
      </c>
      <c r="F198" s="55" t="s">
        <v>193</v>
      </c>
      <c r="G198" s="56">
        <v>20000.0</v>
      </c>
      <c r="H198" s="93">
        <f>SUM(G196:G198)</f>
        <v>35000</v>
      </c>
      <c r="I198" s="94">
        <v>45199.0</v>
      </c>
    </row>
    <row r="199">
      <c r="H199" s="95">
        <f>sum(H1:H198)</f>
        <v>4495645.75</v>
      </c>
    </row>
    <row r="201">
      <c r="F201" s="96" t="s">
        <v>194</v>
      </c>
    </row>
    <row r="202">
      <c r="D202" s="97">
        <v>45218.0</v>
      </c>
      <c r="E202" s="98"/>
      <c r="F202" s="99" t="s">
        <v>195</v>
      </c>
      <c r="G202" s="100">
        <v>20000.0</v>
      </c>
    </row>
    <row r="203">
      <c r="D203" s="101">
        <v>45175.0</v>
      </c>
      <c r="F203" s="52" t="s">
        <v>196</v>
      </c>
      <c r="G203" s="102">
        <v>80000.0</v>
      </c>
    </row>
    <row r="204">
      <c r="D204" s="101">
        <v>45040.0</v>
      </c>
      <c r="F204" s="52" t="s">
        <v>197</v>
      </c>
      <c r="G204" s="102">
        <v>50000.0</v>
      </c>
    </row>
    <row r="205">
      <c r="D205" s="101">
        <v>44995.0</v>
      </c>
      <c r="F205" s="52" t="s">
        <v>198</v>
      </c>
      <c r="G205" s="102">
        <v>44000.0</v>
      </c>
    </row>
    <row r="206">
      <c r="D206" s="101">
        <v>44995.0</v>
      </c>
      <c r="F206" s="52" t="s">
        <v>199</v>
      </c>
      <c r="G206" s="102">
        <v>249000.0</v>
      </c>
    </row>
    <row r="207">
      <c r="D207" s="101">
        <v>44985.0</v>
      </c>
      <c r="F207" s="52" t="s">
        <v>200</v>
      </c>
      <c r="G207" s="102">
        <v>300.0</v>
      </c>
    </row>
    <row r="208">
      <c r="D208" s="101">
        <v>44961.0</v>
      </c>
      <c r="F208" s="52" t="s">
        <v>201</v>
      </c>
      <c r="G208" s="102">
        <v>2000.0</v>
      </c>
    </row>
    <row r="209">
      <c r="D209" s="101">
        <v>44952.0</v>
      </c>
      <c r="F209" s="52" t="s">
        <v>202</v>
      </c>
      <c r="G209" s="102">
        <v>51000.0</v>
      </c>
    </row>
    <row r="210">
      <c r="D210" s="103"/>
      <c r="G210" s="104"/>
    </row>
    <row r="211">
      <c r="D211" s="103"/>
      <c r="G211" s="104"/>
    </row>
    <row r="212">
      <c r="D212" s="105"/>
      <c r="E212" s="106"/>
      <c r="F212" s="107" t="s">
        <v>203</v>
      </c>
      <c r="G212" s="108">
        <f>SUM(G202:G211)</f>
        <v>496300</v>
      </c>
      <c r="H212" s="109">
        <f>SUM(G212)</f>
        <v>496300</v>
      </c>
    </row>
    <row r="216">
      <c r="F216" s="110" t="s">
        <v>204</v>
      </c>
      <c r="G216" s="111"/>
      <c r="H216" s="112">
        <f>SUM(H199,H212)</f>
        <v>4991945.75</v>
      </c>
    </row>
  </sheetData>
  <mergeCells count="24">
    <mergeCell ref="C53:C79"/>
    <mergeCell ref="C80:C86"/>
    <mergeCell ref="C87:C104"/>
    <mergeCell ref="C105:C122"/>
    <mergeCell ref="C123:C132"/>
    <mergeCell ref="C133:C137"/>
    <mergeCell ref="C138:C140"/>
    <mergeCell ref="B4:B11"/>
    <mergeCell ref="C6:C11"/>
    <mergeCell ref="B12:B137"/>
    <mergeCell ref="C12:C17"/>
    <mergeCell ref="C18:C41"/>
    <mergeCell ref="C42:C48"/>
    <mergeCell ref="C49:C52"/>
    <mergeCell ref="C175:C184"/>
    <mergeCell ref="C188:C195"/>
    <mergeCell ref="B141:B198"/>
    <mergeCell ref="C141:C142"/>
    <mergeCell ref="C143:C144"/>
    <mergeCell ref="C145:C157"/>
    <mergeCell ref="C158:C162"/>
    <mergeCell ref="C163:C164"/>
    <mergeCell ref="C170:C174"/>
    <mergeCell ref="C196:C198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44.25"/>
  </cols>
  <sheetData>
    <row r="4">
      <c r="C4" s="20">
        <v>45664.0</v>
      </c>
      <c r="D4" s="21" t="s">
        <v>14</v>
      </c>
      <c r="E4" s="21" t="s">
        <v>15</v>
      </c>
      <c r="F4" s="21">
        <v>60000.0</v>
      </c>
    </row>
    <row r="5">
      <c r="C5" s="20">
        <v>45666.0</v>
      </c>
      <c r="D5" s="21" t="s">
        <v>14</v>
      </c>
      <c r="E5" s="21" t="s">
        <v>16</v>
      </c>
      <c r="F5" s="21">
        <v>260000.0</v>
      </c>
    </row>
    <row r="6">
      <c r="C6" s="17">
        <v>45632.0</v>
      </c>
      <c r="D6" s="18" t="s">
        <v>14</v>
      </c>
      <c r="E6" s="18" t="s">
        <v>25</v>
      </c>
      <c r="F6" s="18">
        <v>250000.0</v>
      </c>
    </row>
    <row r="7">
      <c r="C7" s="113">
        <v>45609.0</v>
      </c>
      <c r="D7" s="114" t="s">
        <v>14</v>
      </c>
      <c r="E7" s="114" t="s">
        <v>36</v>
      </c>
      <c r="F7" s="115">
        <v>90000.0</v>
      </c>
    </row>
    <row r="8">
      <c r="C8" s="113">
        <v>45612.0</v>
      </c>
      <c r="D8" s="114" t="s">
        <v>14</v>
      </c>
      <c r="E8" s="114" t="s">
        <v>37</v>
      </c>
      <c r="F8" s="115">
        <v>15000.0</v>
      </c>
    </row>
    <row r="9">
      <c r="C9" s="113">
        <v>45612.0</v>
      </c>
      <c r="D9" s="114" t="s">
        <v>14</v>
      </c>
      <c r="E9" s="114" t="s">
        <v>38</v>
      </c>
      <c r="F9" s="115">
        <v>150000.0</v>
      </c>
    </row>
    <row r="10">
      <c r="C10" s="113">
        <v>45612.0</v>
      </c>
      <c r="D10" s="114" t="s">
        <v>14</v>
      </c>
      <c r="E10" s="114" t="s">
        <v>39</v>
      </c>
      <c r="F10" s="115">
        <v>30000.0</v>
      </c>
    </row>
    <row r="11">
      <c r="C11" s="113">
        <v>45625.0</v>
      </c>
      <c r="D11" s="114" t="s">
        <v>9</v>
      </c>
      <c r="E11" s="114" t="s">
        <v>46</v>
      </c>
      <c r="F11" s="115">
        <v>15000.0</v>
      </c>
    </row>
    <row r="12">
      <c r="C12" s="113">
        <v>45624.0</v>
      </c>
      <c r="D12" s="114" t="s">
        <v>14</v>
      </c>
      <c r="E12" s="114" t="s">
        <v>47</v>
      </c>
      <c r="F12" s="115">
        <v>45000.0</v>
      </c>
    </row>
    <row r="13">
      <c r="C13" s="42">
        <v>45625.0</v>
      </c>
      <c r="D13" s="21" t="s">
        <v>9</v>
      </c>
      <c r="E13" s="21" t="s">
        <v>53</v>
      </c>
      <c r="F13" s="21">
        <v>20000.0</v>
      </c>
    </row>
    <row r="14">
      <c r="C14" s="35">
        <v>45586.0</v>
      </c>
      <c r="D14" s="33" t="s">
        <v>14</v>
      </c>
      <c r="E14" s="33" t="s">
        <v>60</v>
      </c>
      <c r="F14" s="33">
        <v>50000.0</v>
      </c>
    </row>
    <row r="15">
      <c r="C15" s="51">
        <v>45546.0</v>
      </c>
      <c r="D15" s="52" t="s">
        <v>14</v>
      </c>
      <c r="E15" s="52" t="s">
        <v>63</v>
      </c>
      <c r="F15" s="52">
        <v>100000.0</v>
      </c>
    </row>
    <row r="16">
      <c r="C16" s="116">
        <v>45509.0</v>
      </c>
      <c r="D16" s="117" t="s">
        <v>14</v>
      </c>
      <c r="E16" s="117" t="s">
        <v>67</v>
      </c>
      <c r="F16" s="118">
        <v>72841.0</v>
      </c>
    </row>
    <row r="17">
      <c r="C17" s="116">
        <v>45534.0</v>
      </c>
      <c r="D17" s="117" t="s">
        <v>9</v>
      </c>
      <c r="E17" s="117" t="s">
        <v>93</v>
      </c>
      <c r="F17" s="118">
        <v>20000.0</v>
      </c>
    </row>
    <row r="18">
      <c r="C18" s="119">
        <v>45499.0</v>
      </c>
      <c r="D18" s="120" t="s">
        <v>9</v>
      </c>
      <c r="E18" s="120" t="s">
        <v>96</v>
      </c>
      <c r="F18" s="121">
        <v>100000.0</v>
      </c>
    </row>
    <row r="19">
      <c r="C19" s="116">
        <v>45450.0</v>
      </c>
      <c r="D19" s="117"/>
      <c r="E19" s="117" t="s">
        <v>108</v>
      </c>
      <c r="F19" s="118">
        <v>50000.0</v>
      </c>
    </row>
    <row r="20">
      <c r="C20" s="116">
        <v>45481.0</v>
      </c>
      <c r="D20" s="117" t="s">
        <v>14</v>
      </c>
      <c r="E20" s="117" t="s">
        <v>96</v>
      </c>
      <c r="F20" s="118">
        <v>50000.0</v>
      </c>
    </row>
    <row r="21">
      <c r="C21" s="116">
        <v>45491.0</v>
      </c>
      <c r="D21" s="117" t="s">
        <v>14</v>
      </c>
      <c r="E21" s="117" t="s">
        <v>113</v>
      </c>
      <c r="F21" s="118">
        <v>14400.0</v>
      </c>
    </row>
    <row r="22">
      <c r="C22" s="119">
        <v>45384.0</v>
      </c>
      <c r="D22" s="120" t="s">
        <v>9</v>
      </c>
      <c r="E22" s="120" t="s">
        <v>128</v>
      </c>
      <c r="F22" s="121">
        <v>50000.0</v>
      </c>
    </row>
    <row r="23">
      <c r="C23" s="116">
        <v>45331.0</v>
      </c>
      <c r="D23" s="117" t="s">
        <v>103</v>
      </c>
      <c r="E23" s="117" t="s">
        <v>148</v>
      </c>
      <c r="F23" s="118">
        <v>100000.0</v>
      </c>
    </row>
    <row r="28">
      <c r="E28" s="52" t="s">
        <v>203</v>
      </c>
      <c r="F28" s="109">
        <f>SUM(F4:F27)</f>
        <v>1542241</v>
      </c>
    </row>
  </sheetData>
  <drawing r:id="rId1"/>
</worksheet>
</file>